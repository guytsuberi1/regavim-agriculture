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גיא צוברי\Desktop\רגבים בנימין\חקלאות\"/>
    </mc:Choice>
  </mc:AlternateContent>
  <xr:revisionPtr revIDLastSave="0" documentId="13_ncr:1_{F3C024F2-EF13-4BF6-AEF7-888C8F6029C9}" xr6:coauthVersionLast="47" xr6:coauthVersionMax="47" xr10:uidLastSave="{00000000-0000-0000-0000-000000000000}"/>
  <bookViews>
    <workbookView xWindow="9510" yWindow="0" windowWidth="9780" windowHeight="10170" firstSheet="5" activeTab="17" xr2:uid="{19E4C46E-64B4-46EC-A1C8-75A61B794BF5}"/>
  </bookViews>
  <sheets>
    <sheet name="חודש 09" sheetId="1" r:id="rId1"/>
    <sheet name="צבי סטרוק" sheetId="2" r:id="rId2"/>
    <sheet name="משק אחיה" sheetId="5" r:id="rId3"/>
    <sheet name="ענת צור" sheetId="6" r:id="rId4"/>
    <sheet name="מורשת ותרבות ביריחו" sheetId="7" r:id="rId5"/>
    <sheet name="אליקים בן פורת" sheetId="8" r:id="rId6"/>
    <sheet name="יקב טורא - ארץ הצבי" sheetId="9" r:id="rId7"/>
    <sheet name="יקב גבעות" sheetId="10" r:id="rId8"/>
    <sheet name="גרשון בר-און" sheetId="11" r:id="rId9"/>
    <sheet name="עמותת אלעד - עיר דוד" sheetId="12" r:id="rId10"/>
    <sheet name="מופת עציון ויהודה" sheetId="13" r:id="rId11"/>
    <sheet name="יקב פסגות" sheetId="14" r:id="rId12"/>
    <sheet name="ישי ז'ייציק" sheetId="15" r:id="rId13"/>
    <sheet name="כרמי קידה בע&quot;מ" sheetId="16" r:id="rId14"/>
    <sheet name="גיורא גז" sheetId="17" r:id="rId15"/>
    <sheet name="גן השדה חווה" sheetId="18" r:id="rId16"/>
    <sheet name="הירש אברהם - דשנה של יריחו" sheetId="19" r:id="rId17"/>
    <sheet name="פורמט" sheetId="4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9" l="1"/>
  <c r="B15" i="19" s="1"/>
  <c r="B13" i="18"/>
  <c r="B15" i="18" s="1"/>
  <c r="B13" i="17"/>
  <c r="B15" i="17" s="1"/>
  <c r="B13" i="16"/>
  <c r="B15" i="16" s="1"/>
  <c r="B13" i="15"/>
  <c r="B15" i="15" s="1"/>
  <c r="B13" i="14"/>
  <c r="B15" i="14" s="1"/>
  <c r="B13" i="13"/>
  <c r="B15" i="13" s="1"/>
  <c r="B13" i="12"/>
  <c r="B15" i="12" s="1"/>
  <c r="B13" i="11"/>
  <c r="B15" i="11" s="1"/>
  <c r="B13" i="10"/>
  <c r="B15" i="10" s="1"/>
  <c r="B13" i="9"/>
  <c r="B15" i="9" s="1"/>
  <c r="C16" i="8"/>
  <c r="C14" i="8"/>
  <c r="C14" i="7"/>
  <c r="C16" i="7" s="1"/>
  <c r="C14" i="6"/>
  <c r="C16" i="6" s="1"/>
  <c r="C14" i="5"/>
  <c r="C16" i="5" s="1"/>
  <c r="C14" i="4"/>
  <c r="C16" i="4" s="1"/>
  <c r="C14" i="2"/>
  <c r="C16" i="2" s="1"/>
  <c r="Q3" i="1" l="1"/>
  <c r="Q5" i="1" s="1"/>
  <c r="P3" i="1"/>
  <c r="O3" i="1"/>
  <c r="O5" i="1" s="1"/>
  <c r="N3" i="1"/>
  <c r="N5" i="1" s="1"/>
  <c r="M3" i="1"/>
  <c r="M5" i="1" s="1"/>
  <c r="L3" i="1"/>
  <c r="L5" i="1" s="1"/>
  <c r="K3" i="1"/>
  <c r="K5" i="1" s="1"/>
  <c r="J3" i="1"/>
  <c r="J5" i="1" s="1"/>
  <c r="I3" i="1"/>
  <c r="P5" i="1"/>
  <c r="H3" i="1"/>
  <c r="H5" i="1" s="1"/>
  <c r="G3" i="1"/>
  <c r="G5" i="1" s="1"/>
  <c r="F3" i="1"/>
  <c r="F5" i="1" s="1"/>
  <c r="B5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C3" i="1" l="1"/>
  <c r="C5" i="1" s="1"/>
  <c r="D3" i="1"/>
  <c r="D5" i="1" s="1"/>
  <c r="E3" i="1"/>
  <c r="E5" i="1" s="1"/>
  <c r="I5" i="1"/>
</calcChain>
</file>

<file path=xl/sharedStrings.xml><?xml version="1.0" encoding="utf-8"?>
<sst xmlns="http://schemas.openxmlformats.org/spreadsheetml/2006/main" count="126" uniqueCount="27">
  <si>
    <t>שם חקלאי:</t>
  </si>
  <si>
    <t>צביקי</t>
  </si>
  <si>
    <t>ארנה</t>
  </si>
  <si>
    <t>אליקים</t>
  </si>
  <si>
    <t>טורא</t>
  </si>
  <si>
    <t>יקב גבעות</t>
  </si>
  <si>
    <t>גרשון</t>
  </si>
  <si>
    <t>עיר דוד</t>
  </si>
  <si>
    <t>יהודה עציון</t>
  </si>
  <si>
    <t>משה זמין</t>
  </si>
  <si>
    <t>ז'ייציק</t>
  </si>
  <si>
    <t>ענר</t>
  </si>
  <si>
    <t>גיורא</t>
  </si>
  <si>
    <t>גן השדה</t>
  </si>
  <si>
    <t>מבואות</t>
  </si>
  <si>
    <t>שעות עבודה</t>
  </si>
  <si>
    <t>תשלום שעתי</t>
  </si>
  <si>
    <t>סה"כ לתשלום</t>
  </si>
  <si>
    <t>סה"כ שעות עבודה</t>
  </si>
  <si>
    <t>פירוט</t>
  </si>
  <si>
    <t>תאריך</t>
  </si>
  <si>
    <t>טבלה מסכמת של חודש 09</t>
  </si>
  <si>
    <t>כמות עובדים</t>
  </si>
  <si>
    <t>מס' שעות</t>
  </si>
  <si>
    <t>שם העסק/חקלאי:</t>
  </si>
  <si>
    <t>משק אחיה - ארץ זית שמן</t>
  </si>
  <si>
    <t>ענת צור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</si>
</sst>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2" borderId="9" xfId="0" applyFill="1" applyBorder="1"/>
    <xf numFmtId="0" fontId="0" fillId="2" borderId="11" xfId="0" applyFill="1" applyBorder="1"/>
    <xf numFmtId="16" fontId="0" fillId="0" borderId="0" xfId="0" applyNumberFormat="1"/>
    <xf numFmtId="0" fontId="0" fillId="0" borderId="10" xfId="0" applyBorder="1"/>
    <xf numFmtId="0" fontId="0" fillId="2" borderId="2" xfId="0" applyFill="1" applyBorder="1"/>
    <xf numFmtId="0" fontId="0" fillId="2" borderId="15" xfId="0" applyFill="1" applyBorder="1" applyAlignment="1">
      <alignment horizontal="center"/>
    </xf>
    <xf numFmtId="0" fontId="0" fillId="2" borderId="3" xfId="0" applyFill="1" applyBorder="1"/>
    <xf numFmtId="0" fontId="0" fillId="2" borderId="7" xfId="0" applyFill="1" applyBorder="1" applyAlignment="1">
      <alignment horizontal="center"/>
    </xf>
    <xf numFmtId="0" fontId="0" fillId="2" borderId="20" xfId="0" applyFill="1" applyBorder="1"/>
    <xf numFmtId="16" fontId="0" fillId="0" borderId="13" xfId="0" applyNumberFormat="1" applyBorder="1"/>
    <xf numFmtId="16" fontId="0" fillId="0" borderId="21" xfId="0" applyNumberFormat="1" applyBorder="1"/>
    <xf numFmtId="0" fontId="0" fillId="0" borderId="12" xfId="0" applyBorder="1"/>
    <xf numFmtId="0" fontId="1" fillId="0" borderId="0" xfId="0" applyFont="1"/>
    <xf numFmtId="0" fontId="0" fillId="0" borderId="22" xfId="0" applyBorder="1"/>
    <xf numFmtId="0" fontId="1" fillId="0" borderId="27" xfId="0" applyFont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2" xfId="0" applyFill="1" applyBorder="1"/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3" xfId="0" applyFill="1" applyBorder="1"/>
    <xf numFmtId="0" fontId="0" fillId="2" borderId="28" xfId="0" applyFill="1" applyBorder="1"/>
    <xf numFmtId="16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B72D-9610-4AE9-A623-FA206B583FE5}">
  <dimension ref="A1:S56"/>
  <sheetViews>
    <sheetView rightToLeft="1" zoomScale="71" workbookViewId="0">
      <selection activeCell="G9" sqref="G9"/>
    </sheetView>
  </sheetViews>
  <sheetFormatPr defaultRowHeight="14" x14ac:dyDescent="0.3"/>
  <cols>
    <col min="1" max="2" width="14.08203125" bestFit="1" customWidth="1"/>
    <col min="3" max="3" width="7.33203125" bestFit="1" customWidth="1"/>
    <col min="4" max="4" width="9.6640625" bestFit="1" customWidth="1"/>
    <col min="5" max="5" width="14.08203125" bestFit="1" customWidth="1"/>
    <col min="6" max="6" width="8.4140625" bestFit="1" customWidth="1"/>
    <col min="7" max="7" width="9.6640625" bestFit="1" customWidth="1"/>
    <col min="8" max="8" width="14.08203125" bestFit="1" customWidth="1"/>
    <col min="9" max="9" width="7.1640625" bestFit="1" customWidth="1"/>
    <col min="10" max="10" width="9.6640625" bestFit="1" customWidth="1"/>
    <col min="11" max="11" width="14.08203125" bestFit="1" customWidth="1"/>
    <col min="12" max="12" width="7.75" bestFit="1" customWidth="1"/>
    <col min="13" max="13" width="9.6640625" bestFit="1" customWidth="1"/>
    <col min="14" max="14" width="14.08203125" bestFit="1" customWidth="1"/>
    <col min="15" max="15" width="7.1640625" bestFit="1" customWidth="1"/>
    <col min="16" max="16" width="9.6640625" bestFit="1" customWidth="1"/>
    <col min="17" max="17" width="14.08203125" bestFit="1" customWidth="1"/>
    <col min="18" max="18" width="6.75" bestFit="1" customWidth="1"/>
    <col min="19" max="19" width="9.75" bestFit="1" customWidth="1"/>
    <col min="20" max="20" width="14.08203125" bestFit="1" customWidth="1"/>
    <col min="21" max="21" width="6.75" bestFit="1" customWidth="1"/>
    <col min="22" max="22" width="9.75" bestFit="1" customWidth="1"/>
    <col min="23" max="23" width="14.08203125" bestFit="1" customWidth="1"/>
    <col min="24" max="24" width="6.75" bestFit="1" customWidth="1"/>
    <col min="25" max="25" width="9.75" bestFit="1" customWidth="1"/>
  </cols>
  <sheetData>
    <row r="1" spans="1:19" x14ac:dyDescent="0.3">
      <c r="A1" s="29" t="s">
        <v>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1"/>
      <c r="R1" s="15"/>
    </row>
    <row r="2" spans="1:19" x14ac:dyDescent="0.3">
      <c r="A2" s="2" t="s">
        <v>0</v>
      </c>
      <c r="B2" s="32">
        <f>B10</f>
        <v>0</v>
      </c>
      <c r="C2" s="32">
        <f>E10</f>
        <v>0</v>
      </c>
      <c r="D2" s="32">
        <f>H10</f>
        <v>0</v>
      </c>
      <c r="E2" s="32">
        <f>K10</f>
        <v>0</v>
      </c>
      <c r="F2" s="32">
        <f>N10</f>
        <v>0</v>
      </c>
      <c r="G2" s="32">
        <f>B26</f>
        <v>0</v>
      </c>
      <c r="H2" s="32">
        <f>E26</f>
        <v>0</v>
      </c>
      <c r="I2" s="32">
        <f>H26</f>
        <v>0</v>
      </c>
      <c r="J2" s="32">
        <f>K26</f>
        <v>0</v>
      </c>
      <c r="K2" s="32">
        <f>N26</f>
        <v>0</v>
      </c>
      <c r="L2" s="32">
        <f>B42</f>
        <v>0</v>
      </c>
      <c r="M2" s="32">
        <f>E42</f>
        <v>0</v>
      </c>
      <c r="N2" s="32">
        <f>H42</f>
        <v>0</v>
      </c>
      <c r="O2" s="32">
        <f>K42</f>
        <v>0</v>
      </c>
      <c r="P2" s="32">
        <f>N42</f>
        <v>0</v>
      </c>
      <c r="Q2" s="33">
        <f>Q42</f>
        <v>0</v>
      </c>
    </row>
    <row r="3" spans="1:19" x14ac:dyDescent="0.3">
      <c r="A3" s="2" t="s">
        <v>18</v>
      </c>
      <c r="B3" s="1"/>
      <c r="C3" s="1">
        <f>F22</f>
        <v>0</v>
      </c>
      <c r="D3" s="1">
        <f>I22</f>
        <v>0</v>
      </c>
      <c r="E3" s="1">
        <f>L22</f>
        <v>0</v>
      </c>
      <c r="F3" s="1">
        <f>O22</f>
        <v>0</v>
      </c>
      <c r="G3" s="1">
        <f>C38</f>
        <v>0</v>
      </c>
      <c r="H3" s="1">
        <f>F38</f>
        <v>0</v>
      </c>
      <c r="I3" s="1">
        <f>I38</f>
        <v>0</v>
      </c>
      <c r="J3" s="1">
        <f>L38</f>
        <v>0</v>
      </c>
      <c r="K3" s="1">
        <f>O38</f>
        <v>0</v>
      </c>
      <c r="L3" s="1">
        <f>C54</f>
        <v>0</v>
      </c>
      <c r="M3" s="1">
        <f>F54</f>
        <v>0</v>
      </c>
      <c r="N3" s="1">
        <f>I54</f>
        <v>0</v>
      </c>
      <c r="O3" s="1">
        <f>L54</f>
        <v>0</v>
      </c>
      <c r="P3" s="1">
        <f>O54</f>
        <v>0</v>
      </c>
      <c r="Q3" s="1">
        <f>R54</f>
        <v>0</v>
      </c>
    </row>
    <row r="4" spans="1:19" x14ac:dyDescent="0.3">
      <c r="A4" s="2" t="s">
        <v>16</v>
      </c>
      <c r="B4" s="1">
        <v>28</v>
      </c>
      <c r="C4" s="1">
        <v>28</v>
      </c>
      <c r="D4" s="1">
        <v>28</v>
      </c>
      <c r="E4" s="1">
        <v>25</v>
      </c>
      <c r="F4" s="1">
        <v>28</v>
      </c>
      <c r="G4" s="1">
        <v>28</v>
      </c>
      <c r="H4" s="1">
        <v>28</v>
      </c>
      <c r="I4" s="1">
        <v>28</v>
      </c>
      <c r="J4" s="1">
        <v>28</v>
      </c>
      <c r="K4" s="1">
        <v>28</v>
      </c>
      <c r="L4" s="1">
        <v>28</v>
      </c>
      <c r="M4" s="1">
        <v>28</v>
      </c>
      <c r="N4" s="1">
        <v>28</v>
      </c>
      <c r="O4" s="1">
        <v>28</v>
      </c>
      <c r="P4" s="1">
        <v>28</v>
      </c>
      <c r="Q4" s="1">
        <v>28</v>
      </c>
    </row>
    <row r="5" spans="1:19" ht="14.5" thickBot="1" x14ac:dyDescent="0.35">
      <c r="A5" s="3" t="s">
        <v>17</v>
      </c>
      <c r="B5" s="16">
        <f>B3*B4</f>
        <v>0</v>
      </c>
      <c r="C5" s="16">
        <f t="shared" ref="C5:Q5" si="0">C3*C4</f>
        <v>0</v>
      </c>
      <c r="D5" s="16">
        <f t="shared" si="0"/>
        <v>0</v>
      </c>
      <c r="E5" s="16">
        <f t="shared" si="0"/>
        <v>0</v>
      </c>
      <c r="F5" s="16">
        <f t="shared" si="0"/>
        <v>0</v>
      </c>
      <c r="G5" s="16">
        <f t="shared" si="0"/>
        <v>0</v>
      </c>
      <c r="H5" s="16">
        <f t="shared" si="0"/>
        <v>0</v>
      </c>
      <c r="I5" s="16">
        <f t="shared" si="0"/>
        <v>0</v>
      </c>
      <c r="J5" s="16">
        <f t="shared" si="0"/>
        <v>0</v>
      </c>
      <c r="K5" s="16">
        <f t="shared" si="0"/>
        <v>0</v>
      </c>
      <c r="L5" s="16">
        <f t="shared" si="0"/>
        <v>0</v>
      </c>
      <c r="M5" s="16">
        <f t="shared" si="0"/>
        <v>0</v>
      </c>
      <c r="N5" s="16">
        <f t="shared" si="0"/>
        <v>0</v>
      </c>
      <c r="O5" s="16">
        <f t="shared" si="0"/>
        <v>0</v>
      </c>
      <c r="P5" s="16">
        <f t="shared" si="0"/>
        <v>0</v>
      </c>
      <c r="Q5" s="16">
        <f t="shared" si="0"/>
        <v>0</v>
      </c>
      <c r="R5" s="14"/>
    </row>
    <row r="9" spans="1:19" x14ac:dyDescent="0.3"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7"/>
      <c r="R9" s="47"/>
      <c r="S9" s="47"/>
    </row>
    <row r="10" spans="1:19" x14ac:dyDescent="0.3"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</row>
    <row r="11" spans="1:19" x14ac:dyDescent="0.3"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</row>
    <row r="12" spans="1:19" x14ac:dyDescent="0.3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</row>
    <row r="13" spans="1:19" x14ac:dyDescent="0.3"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</row>
    <row r="14" spans="1:19" x14ac:dyDescent="0.3"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</row>
    <row r="15" spans="1:19" x14ac:dyDescent="0.3"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</row>
    <row r="16" spans="1:19" x14ac:dyDescent="0.3"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</row>
    <row r="17" spans="2:19" x14ac:dyDescent="0.3"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</row>
    <row r="18" spans="2:19" x14ac:dyDescent="0.3"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</row>
    <row r="19" spans="2:19" x14ac:dyDescent="0.3"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</row>
    <row r="20" spans="2:19" x14ac:dyDescent="0.3"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</row>
    <row r="21" spans="2:19" x14ac:dyDescent="0.3"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</row>
    <row r="22" spans="2:19" x14ac:dyDescent="0.3"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</row>
    <row r="23" spans="2:19" x14ac:dyDescent="0.3"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</row>
    <row r="24" spans="2:19" x14ac:dyDescent="0.3"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</row>
    <row r="25" spans="2:19" x14ac:dyDescent="0.3"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</row>
    <row r="26" spans="2:19" x14ac:dyDescent="0.3"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</row>
    <row r="27" spans="2:19" x14ac:dyDescent="0.3"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</row>
    <row r="28" spans="2:19" x14ac:dyDescent="0.3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</row>
    <row r="29" spans="2:19" x14ac:dyDescent="0.3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</row>
    <row r="30" spans="2:19" x14ac:dyDescent="0.3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</row>
    <row r="31" spans="2:19" x14ac:dyDescent="0.3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</row>
    <row r="32" spans="2:19" x14ac:dyDescent="0.3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</row>
    <row r="33" spans="2:19" x14ac:dyDescent="0.3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</row>
    <row r="34" spans="2:19" x14ac:dyDescent="0.3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</row>
    <row r="35" spans="2:19" x14ac:dyDescent="0.3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</row>
    <row r="36" spans="2:19" x14ac:dyDescent="0.3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</row>
    <row r="37" spans="2:19" x14ac:dyDescent="0.3"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</row>
    <row r="38" spans="2:19" x14ac:dyDescent="0.3"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</row>
    <row r="39" spans="2:19" x14ac:dyDescent="0.3"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</row>
    <row r="40" spans="2:19" x14ac:dyDescent="0.3"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</row>
    <row r="41" spans="2:19" x14ac:dyDescent="0.3"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</row>
    <row r="42" spans="2:19" x14ac:dyDescent="0.3"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</row>
    <row r="43" spans="2:19" x14ac:dyDescent="0.3"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</row>
    <row r="44" spans="2:19" x14ac:dyDescent="0.3"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</row>
    <row r="45" spans="2:19" x14ac:dyDescent="0.3"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</row>
    <row r="46" spans="2:19" x14ac:dyDescent="0.3"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</row>
    <row r="47" spans="2:19" x14ac:dyDescent="0.3"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</row>
    <row r="48" spans="2:19" x14ac:dyDescent="0.3"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</row>
    <row r="49" spans="2:19" x14ac:dyDescent="0.3"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</row>
    <row r="50" spans="2:19" x14ac:dyDescent="0.3"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</row>
    <row r="51" spans="2:19" x14ac:dyDescent="0.3"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</row>
    <row r="52" spans="2:19" x14ac:dyDescent="0.3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</row>
    <row r="53" spans="2:19" x14ac:dyDescent="0.3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</row>
    <row r="54" spans="2:19" x14ac:dyDescent="0.3">
      <c r="B54" s="47"/>
      <c r="C54" s="46"/>
      <c r="D54" s="46"/>
      <c r="E54" s="47"/>
      <c r="F54" s="46"/>
      <c r="G54" s="46"/>
      <c r="H54" s="47"/>
      <c r="I54" s="46"/>
      <c r="J54" s="46"/>
      <c r="K54" s="47"/>
      <c r="L54" s="46"/>
      <c r="M54" s="46"/>
      <c r="N54" s="47"/>
      <c r="O54" s="46"/>
      <c r="P54" s="46"/>
      <c r="Q54" s="47"/>
      <c r="R54" s="46"/>
      <c r="S54" s="46"/>
    </row>
    <row r="55" spans="2:19" x14ac:dyDescent="0.3">
      <c r="B55" s="47"/>
      <c r="C55" s="46"/>
      <c r="D55" s="46"/>
      <c r="E55" s="47"/>
      <c r="F55" s="46"/>
      <c r="G55" s="46"/>
      <c r="H55" s="47"/>
      <c r="I55" s="46"/>
      <c r="J55" s="46"/>
      <c r="K55" s="47"/>
      <c r="L55" s="46"/>
      <c r="M55" s="46"/>
      <c r="N55" s="47"/>
      <c r="O55" s="46"/>
      <c r="P55" s="46"/>
      <c r="Q55" s="47"/>
      <c r="R55" s="46"/>
      <c r="S55" s="46"/>
    </row>
    <row r="56" spans="2:19" x14ac:dyDescent="0.3">
      <c r="B56" s="47"/>
      <c r="C56" s="48"/>
      <c r="D56" s="48"/>
      <c r="E56" s="47"/>
      <c r="F56" s="48"/>
      <c r="G56" s="48"/>
      <c r="H56" s="47"/>
      <c r="I56" s="48"/>
      <c r="J56" s="48"/>
      <c r="K56" s="47"/>
      <c r="L56" s="48"/>
      <c r="M56" s="48"/>
      <c r="N56" s="47"/>
      <c r="O56" s="48"/>
      <c r="P56" s="48"/>
      <c r="Q56" s="47"/>
      <c r="R56" s="48"/>
      <c r="S56" s="48"/>
    </row>
  </sheetData>
  <mergeCells count="19">
    <mergeCell ref="A1:Q1"/>
    <mergeCell ref="C54:D54"/>
    <mergeCell ref="F54:G54"/>
    <mergeCell ref="I54:J54"/>
    <mergeCell ref="L54:M54"/>
    <mergeCell ref="O54:P54"/>
    <mergeCell ref="C55:D55"/>
    <mergeCell ref="F55:G55"/>
    <mergeCell ref="I55:J55"/>
    <mergeCell ref="L55:M55"/>
    <mergeCell ref="O55:P55"/>
    <mergeCell ref="C56:D56"/>
    <mergeCell ref="F56:G56"/>
    <mergeCell ref="I56:J56"/>
    <mergeCell ref="L56:M56"/>
    <mergeCell ref="O56:P56"/>
    <mergeCell ref="R54:S54"/>
    <mergeCell ref="R55:S55"/>
    <mergeCell ref="R56:S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7568-9003-4245-B514-D8FD00C2D875}">
  <dimension ref="B1:D16"/>
  <sheetViews>
    <sheetView rightToLeft="1" workbookViewId="0">
      <selection activeCell="G11" sqref="G11"/>
    </sheetView>
  </sheetViews>
  <sheetFormatPr defaultRowHeight="14" x14ac:dyDescent="0.3"/>
  <cols>
    <col min="2" max="2" width="13.9140625" bestFit="1" customWidth="1"/>
    <col min="4" max="4" width="13.9140625" bestFit="1" customWidth="1"/>
  </cols>
  <sheetData>
    <row r="1" spans="2:4" ht="14.5" thickBot="1" x14ac:dyDescent="0.35"/>
    <row r="2" spans="2:4" ht="14.5" thickBot="1" x14ac:dyDescent="0.35">
      <c r="B2" s="17" t="s">
        <v>1</v>
      </c>
      <c r="C2" s="18"/>
      <c r="D2" s="19"/>
    </row>
    <row r="3" spans="2:4" x14ac:dyDescent="0.3">
      <c r="B3" s="20" t="s">
        <v>19</v>
      </c>
      <c r="C3" s="7" t="s">
        <v>20</v>
      </c>
      <c r="D3" s="6" t="s">
        <v>18</v>
      </c>
    </row>
    <row r="4" spans="2:4" x14ac:dyDescent="0.3">
      <c r="B4" s="21"/>
      <c r="C4" s="4">
        <v>45173</v>
      </c>
      <c r="D4" s="5">
        <v>32</v>
      </c>
    </row>
    <row r="5" spans="2:4" x14ac:dyDescent="0.3">
      <c r="B5" s="21"/>
      <c r="C5" s="4">
        <v>45174</v>
      </c>
      <c r="D5" s="5">
        <v>45</v>
      </c>
    </row>
    <row r="6" spans="2:4" x14ac:dyDescent="0.3">
      <c r="B6" s="21"/>
      <c r="C6" s="4">
        <v>45175</v>
      </c>
      <c r="D6" s="5">
        <v>36</v>
      </c>
    </row>
    <row r="7" spans="2:4" x14ac:dyDescent="0.3">
      <c r="B7" s="21"/>
      <c r="C7" s="4">
        <v>45176</v>
      </c>
      <c r="D7" s="5">
        <v>85.2</v>
      </c>
    </row>
    <row r="8" spans="2:4" x14ac:dyDescent="0.3">
      <c r="B8" s="21"/>
      <c r="C8" s="4">
        <v>45180</v>
      </c>
      <c r="D8" s="5">
        <v>38.4</v>
      </c>
    </row>
    <row r="9" spans="2:4" x14ac:dyDescent="0.3">
      <c r="B9" s="21"/>
      <c r="C9" s="4">
        <v>45181</v>
      </c>
      <c r="D9" s="5">
        <v>94.5</v>
      </c>
    </row>
    <row r="10" spans="2:4" x14ac:dyDescent="0.3">
      <c r="B10" s="21"/>
      <c r="C10" s="4">
        <v>45182</v>
      </c>
      <c r="D10" s="5">
        <v>110</v>
      </c>
    </row>
    <row r="11" spans="2:4" x14ac:dyDescent="0.3">
      <c r="B11" s="21"/>
      <c r="C11" s="4">
        <v>45188</v>
      </c>
      <c r="D11" s="5">
        <v>33.6</v>
      </c>
    </row>
    <row r="12" spans="2:4" x14ac:dyDescent="0.3">
      <c r="B12" s="21"/>
      <c r="C12" s="4">
        <v>45189</v>
      </c>
      <c r="D12" s="5">
        <v>144</v>
      </c>
    </row>
    <row r="13" spans="2:4" ht="14.5" thickBot="1" x14ac:dyDescent="0.35">
      <c r="B13" s="22"/>
      <c r="C13" s="4">
        <v>45190</v>
      </c>
      <c r="D13" s="5">
        <v>75</v>
      </c>
    </row>
    <row r="14" spans="2:4" ht="14.5" thickBot="1" x14ac:dyDescent="0.35">
      <c r="B14" s="8" t="s">
        <v>18</v>
      </c>
      <c r="C14" s="23">
        <f>SUM(D4:D13)</f>
        <v>693.7</v>
      </c>
      <c r="D14" s="24"/>
    </row>
    <row r="15" spans="2:4" ht="14.5" thickBot="1" x14ac:dyDescent="0.35">
      <c r="B15" s="8" t="s">
        <v>16</v>
      </c>
      <c r="C15" s="25">
        <v>28</v>
      </c>
      <c r="D15" s="26"/>
    </row>
    <row r="16" spans="2:4" ht="14.5" thickBot="1" x14ac:dyDescent="0.35">
      <c r="B16" s="8" t="s">
        <v>17</v>
      </c>
      <c r="C16" s="27">
        <f>C14*C15</f>
        <v>19423.600000000002</v>
      </c>
      <c r="D16" s="28"/>
    </row>
  </sheetData>
  <mergeCells count="5">
    <mergeCell ref="B2:D2"/>
    <mergeCell ref="B3:B13"/>
    <mergeCell ref="C14:D14"/>
    <mergeCell ref="C15:D15"/>
    <mergeCell ref="C16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D5AC-2001-454D-A534-82B49349F8EA}">
  <dimension ref="B1:D16"/>
  <sheetViews>
    <sheetView rightToLeft="1" workbookViewId="0">
      <selection activeCell="E7" sqref="E7"/>
    </sheetView>
  </sheetViews>
  <sheetFormatPr defaultRowHeight="14" x14ac:dyDescent="0.3"/>
  <cols>
    <col min="2" max="2" width="13.9140625" bestFit="1" customWidth="1"/>
    <col min="4" max="4" width="9.6640625" bestFit="1" customWidth="1"/>
  </cols>
  <sheetData>
    <row r="1" spans="2:4" ht="14.5" thickBot="1" x14ac:dyDescent="0.35"/>
    <row r="2" spans="2:4" ht="14.5" thickBot="1" x14ac:dyDescent="0.35">
      <c r="B2" s="17" t="s">
        <v>25</v>
      </c>
      <c r="C2" s="18"/>
      <c r="D2" s="19"/>
    </row>
    <row r="3" spans="2:4" x14ac:dyDescent="0.3">
      <c r="B3" s="20" t="s">
        <v>19</v>
      </c>
      <c r="C3" s="7" t="s">
        <v>20</v>
      </c>
      <c r="D3" s="43" t="s">
        <v>15</v>
      </c>
    </row>
    <row r="4" spans="2:4" x14ac:dyDescent="0.3">
      <c r="B4" s="21"/>
      <c r="C4" s="44">
        <v>45173</v>
      </c>
      <c r="D4" s="5">
        <v>20</v>
      </c>
    </row>
    <row r="5" spans="2:4" x14ac:dyDescent="0.3">
      <c r="B5" s="21"/>
      <c r="C5" s="44">
        <v>45174</v>
      </c>
      <c r="D5" s="5">
        <v>36.299999999999997</v>
      </c>
    </row>
    <row r="6" spans="2:4" x14ac:dyDescent="0.3">
      <c r="B6" s="21"/>
      <c r="C6" s="44">
        <v>45175</v>
      </c>
      <c r="D6" s="5">
        <v>16</v>
      </c>
    </row>
    <row r="7" spans="2:4" x14ac:dyDescent="0.3">
      <c r="B7" s="21"/>
      <c r="C7" s="44">
        <v>45176</v>
      </c>
      <c r="D7" s="5">
        <v>12.5</v>
      </c>
    </row>
    <row r="8" spans="2:4" x14ac:dyDescent="0.3">
      <c r="B8" s="21"/>
      <c r="C8" s="44">
        <v>45180</v>
      </c>
      <c r="D8" s="5">
        <v>30</v>
      </c>
    </row>
    <row r="9" spans="2:4" x14ac:dyDescent="0.3">
      <c r="B9" s="21"/>
      <c r="C9" s="44">
        <v>45181</v>
      </c>
      <c r="D9" s="5">
        <v>28.6</v>
      </c>
    </row>
    <row r="10" spans="2:4" x14ac:dyDescent="0.3">
      <c r="B10" s="21"/>
      <c r="C10" s="44">
        <v>45182</v>
      </c>
      <c r="D10" s="5">
        <v>30</v>
      </c>
    </row>
    <row r="11" spans="2:4" x14ac:dyDescent="0.3">
      <c r="B11" s="21"/>
      <c r="C11" s="44">
        <v>45188</v>
      </c>
      <c r="D11" s="5">
        <v>18</v>
      </c>
    </row>
    <row r="12" spans="2:4" x14ac:dyDescent="0.3">
      <c r="B12" s="21"/>
      <c r="C12" s="44">
        <v>45189</v>
      </c>
      <c r="D12" s="5">
        <v>29</v>
      </c>
    </row>
    <row r="13" spans="2:4" ht="14.5" thickBot="1" x14ac:dyDescent="0.35">
      <c r="B13" s="22"/>
      <c r="C13" s="44"/>
      <c r="D13" s="5"/>
    </row>
    <row r="14" spans="2:4" ht="14.5" thickBot="1" x14ac:dyDescent="0.35">
      <c r="B14" s="8" t="s">
        <v>18</v>
      </c>
      <c r="C14" s="23">
        <f>SUM(D4:D13)</f>
        <v>220.4</v>
      </c>
      <c r="D14" s="24"/>
    </row>
    <row r="15" spans="2:4" ht="14.5" thickBot="1" x14ac:dyDescent="0.35">
      <c r="B15" s="8" t="s">
        <v>16</v>
      </c>
      <c r="C15" s="45">
        <v>28</v>
      </c>
      <c r="D15" s="26"/>
    </row>
    <row r="16" spans="2:4" ht="14.5" thickBot="1" x14ac:dyDescent="0.35">
      <c r="B16" s="8" t="s">
        <v>17</v>
      </c>
      <c r="C16" s="27">
        <f>C14*C15</f>
        <v>6171.2</v>
      </c>
      <c r="D16" s="28"/>
    </row>
  </sheetData>
  <mergeCells count="5">
    <mergeCell ref="B2:D2"/>
    <mergeCell ref="B3:B13"/>
    <mergeCell ref="C14:D14"/>
    <mergeCell ref="C15:D15"/>
    <mergeCell ref="C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0D80-F052-4B92-B293-A3D416BBD983}">
  <dimension ref="B1:D16"/>
  <sheetViews>
    <sheetView rightToLeft="1" workbookViewId="0">
      <selection activeCell="B2" sqref="B2:D2"/>
    </sheetView>
  </sheetViews>
  <sheetFormatPr defaultRowHeight="14" x14ac:dyDescent="0.3"/>
  <cols>
    <col min="2" max="2" width="13.9140625" bestFit="1" customWidth="1"/>
    <col min="4" max="4" width="9.6640625" bestFit="1" customWidth="1"/>
  </cols>
  <sheetData>
    <row r="1" spans="2:4" ht="14.5" thickBot="1" x14ac:dyDescent="0.35"/>
    <row r="2" spans="2:4" ht="14.5" thickBot="1" x14ac:dyDescent="0.35">
      <c r="B2" s="17" t="s">
        <v>26</v>
      </c>
      <c r="C2" s="18"/>
      <c r="D2" s="19"/>
    </row>
    <row r="3" spans="2:4" x14ac:dyDescent="0.3">
      <c r="B3" s="20" t="s">
        <v>19</v>
      </c>
      <c r="C3" s="7" t="s">
        <v>20</v>
      </c>
      <c r="D3" s="43" t="s">
        <v>15</v>
      </c>
    </row>
    <row r="4" spans="2:4" x14ac:dyDescent="0.3">
      <c r="B4" s="21"/>
      <c r="C4" s="44">
        <v>45173</v>
      </c>
      <c r="D4" s="5">
        <v>20</v>
      </c>
    </row>
    <row r="5" spans="2:4" x14ac:dyDescent="0.3">
      <c r="B5" s="21"/>
      <c r="C5" s="44">
        <v>45174</v>
      </c>
      <c r="D5" s="5">
        <v>29.25</v>
      </c>
    </row>
    <row r="6" spans="2:4" x14ac:dyDescent="0.3">
      <c r="B6" s="21"/>
      <c r="C6" s="44">
        <v>45175</v>
      </c>
      <c r="D6" s="5">
        <v>15</v>
      </c>
    </row>
    <row r="7" spans="2:4" x14ac:dyDescent="0.3">
      <c r="B7" s="21"/>
      <c r="C7" s="44">
        <v>45176</v>
      </c>
      <c r="D7" s="5">
        <v>10.5</v>
      </c>
    </row>
    <row r="8" spans="2:4" x14ac:dyDescent="0.3">
      <c r="B8" s="21"/>
      <c r="C8" s="44">
        <v>45180</v>
      </c>
      <c r="D8" s="5">
        <v>21</v>
      </c>
    </row>
    <row r="9" spans="2:4" x14ac:dyDescent="0.3">
      <c r="B9" s="21"/>
      <c r="C9" s="44">
        <v>45181</v>
      </c>
      <c r="D9" s="5">
        <v>14.4</v>
      </c>
    </row>
    <row r="10" spans="2:4" x14ac:dyDescent="0.3">
      <c r="B10" s="21"/>
      <c r="C10" s="44">
        <v>45182</v>
      </c>
      <c r="D10" s="5">
        <v>21</v>
      </c>
    </row>
    <row r="11" spans="2:4" x14ac:dyDescent="0.3">
      <c r="B11" s="21"/>
      <c r="C11" s="44">
        <v>45188</v>
      </c>
      <c r="D11" s="5">
        <v>35</v>
      </c>
    </row>
    <row r="12" spans="2:4" x14ac:dyDescent="0.3">
      <c r="B12" s="21"/>
      <c r="C12" s="44">
        <v>45189</v>
      </c>
      <c r="D12" s="5">
        <v>21</v>
      </c>
    </row>
    <row r="13" spans="2:4" ht="14.5" thickBot="1" x14ac:dyDescent="0.35">
      <c r="B13" s="22"/>
      <c r="C13" s="44"/>
      <c r="D13" s="5"/>
    </row>
    <row r="14" spans="2:4" ht="14.5" thickBot="1" x14ac:dyDescent="0.35">
      <c r="B14" s="8" t="s">
        <v>18</v>
      </c>
      <c r="C14" s="23">
        <f>SUM(D4:D13)</f>
        <v>187.15</v>
      </c>
      <c r="D14" s="24"/>
    </row>
    <row r="15" spans="2:4" ht="14.5" thickBot="1" x14ac:dyDescent="0.35">
      <c r="B15" s="8" t="s">
        <v>16</v>
      </c>
      <c r="C15" s="45">
        <v>28</v>
      </c>
      <c r="D15" s="26"/>
    </row>
    <row r="16" spans="2:4" ht="14.5" thickBot="1" x14ac:dyDescent="0.35">
      <c r="B16" s="8" t="s">
        <v>17</v>
      </c>
      <c r="C16" s="27">
        <f>C14*C15</f>
        <v>5240.2</v>
      </c>
      <c r="D16" s="28"/>
    </row>
  </sheetData>
  <mergeCells count="5">
    <mergeCell ref="B2:D2"/>
    <mergeCell ref="B3:B13"/>
    <mergeCell ref="C14:D14"/>
    <mergeCell ref="C15:D15"/>
    <mergeCell ref="C16:D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D620-47C3-4CC6-B435-274EDC26EC59}">
  <dimension ref="B1:D16"/>
  <sheetViews>
    <sheetView rightToLeft="1" workbookViewId="0">
      <selection activeCell="B2" sqref="B2:D16"/>
    </sheetView>
  </sheetViews>
  <sheetFormatPr defaultRowHeight="14" x14ac:dyDescent="0.3"/>
  <sheetData>
    <row r="1" spans="2:4" ht="14.5" thickBot="1" x14ac:dyDescent="0.35"/>
    <row r="2" spans="2:4" ht="14.5" thickBot="1" x14ac:dyDescent="0.35">
      <c r="B2" s="17" t="s">
        <v>2</v>
      </c>
      <c r="C2" s="18"/>
      <c r="D2" s="19"/>
    </row>
    <row r="3" spans="2:4" x14ac:dyDescent="0.3">
      <c r="B3" s="20" t="s">
        <v>19</v>
      </c>
      <c r="C3" s="7" t="s">
        <v>20</v>
      </c>
      <c r="D3" s="6" t="s">
        <v>15</v>
      </c>
    </row>
    <row r="4" spans="2:4" x14ac:dyDescent="0.3">
      <c r="B4" s="21"/>
      <c r="C4" s="4">
        <v>45173</v>
      </c>
      <c r="D4">
        <v>42</v>
      </c>
    </row>
    <row r="5" spans="2:4" x14ac:dyDescent="0.3">
      <c r="B5" s="21"/>
      <c r="C5" s="4">
        <v>45174</v>
      </c>
      <c r="D5">
        <v>29.6</v>
      </c>
    </row>
    <row r="6" spans="2:4" x14ac:dyDescent="0.3">
      <c r="B6" s="21"/>
      <c r="C6" s="4">
        <v>45175</v>
      </c>
      <c r="D6">
        <v>43.5</v>
      </c>
    </row>
    <row r="7" spans="2:4" x14ac:dyDescent="0.3">
      <c r="B7" s="21"/>
      <c r="C7" s="4">
        <v>45176</v>
      </c>
      <c r="D7">
        <v>20</v>
      </c>
    </row>
    <row r="8" spans="2:4" x14ac:dyDescent="0.3">
      <c r="B8" s="21"/>
      <c r="C8" s="4">
        <v>45180</v>
      </c>
      <c r="D8">
        <v>44.6</v>
      </c>
    </row>
    <row r="9" spans="2:4" x14ac:dyDescent="0.3">
      <c r="B9" s="21"/>
      <c r="C9" s="4">
        <v>45181</v>
      </c>
      <c r="D9">
        <v>47.5</v>
      </c>
    </row>
    <row r="10" spans="2:4" x14ac:dyDescent="0.3">
      <c r="B10" s="21"/>
      <c r="C10" s="4">
        <v>45182</v>
      </c>
      <c r="D10">
        <v>47.25</v>
      </c>
    </row>
    <row r="11" spans="2:4" x14ac:dyDescent="0.3">
      <c r="B11" s="21"/>
      <c r="C11" s="4">
        <v>45188</v>
      </c>
      <c r="D11">
        <v>30</v>
      </c>
    </row>
    <row r="12" spans="2:4" x14ac:dyDescent="0.3">
      <c r="B12" s="21"/>
      <c r="C12" s="4">
        <v>45189</v>
      </c>
      <c r="D12">
        <v>38</v>
      </c>
    </row>
    <row r="13" spans="2:4" ht="14.5" thickBot="1" x14ac:dyDescent="0.35">
      <c r="B13" s="22"/>
      <c r="C13" s="4"/>
      <c r="D13" s="5"/>
    </row>
    <row r="14" spans="2:4" ht="14.5" thickBot="1" x14ac:dyDescent="0.35">
      <c r="B14" s="8" t="s">
        <v>18</v>
      </c>
      <c r="C14" s="23">
        <f>SUM(D4:D13)</f>
        <v>342.45</v>
      </c>
      <c r="D14" s="24"/>
    </row>
    <row r="15" spans="2:4" ht="14.5" thickBot="1" x14ac:dyDescent="0.35">
      <c r="B15" s="8" t="s">
        <v>16</v>
      </c>
      <c r="C15" s="25">
        <v>25</v>
      </c>
      <c r="D15" s="26"/>
    </row>
    <row r="16" spans="2:4" ht="14.5" thickBot="1" x14ac:dyDescent="0.35">
      <c r="B16" s="8" t="s">
        <v>17</v>
      </c>
      <c r="C16" s="27">
        <f>C14*C15</f>
        <v>8561.25</v>
      </c>
      <c r="D16" s="28"/>
    </row>
  </sheetData>
  <mergeCells count="5">
    <mergeCell ref="B2:D2"/>
    <mergeCell ref="B3:B13"/>
    <mergeCell ref="C14:D14"/>
    <mergeCell ref="C15:D15"/>
    <mergeCell ref="C16:D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D2F2-095D-41EC-88CE-16A919D6D0A6}">
  <dimension ref="B1:D16"/>
  <sheetViews>
    <sheetView rightToLeft="1" workbookViewId="0">
      <selection activeCell="G5" activeCellId="1" sqref="B2:D16 G5"/>
    </sheetView>
  </sheetViews>
  <sheetFormatPr defaultRowHeight="14" x14ac:dyDescent="0.3"/>
  <sheetData>
    <row r="1" spans="2:4" ht="14.5" thickBot="1" x14ac:dyDescent="0.35"/>
    <row r="2" spans="2:4" ht="14.5" thickBot="1" x14ac:dyDescent="0.35">
      <c r="B2" s="17" t="s">
        <v>3</v>
      </c>
      <c r="C2" s="18"/>
      <c r="D2" s="19"/>
    </row>
    <row r="3" spans="2:4" x14ac:dyDescent="0.3">
      <c r="B3" s="20" t="s">
        <v>19</v>
      </c>
      <c r="C3" s="9" t="s">
        <v>20</v>
      </c>
      <c r="D3" s="10" t="s">
        <v>15</v>
      </c>
    </row>
    <row r="4" spans="2:4" x14ac:dyDescent="0.3">
      <c r="B4" s="21"/>
      <c r="C4" s="11">
        <v>45174</v>
      </c>
      <c r="D4" s="5">
        <v>60.15</v>
      </c>
    </row>
    <row r="5" spans="2:4" x14ac:dyDescent="0.3">
      <c r="B5" s="21"/>
      <c r="C5" s="11">
        <v>45175</v>
      </c>
      <c r="D5" s="5">
        <v>71.28</v>
      </c>
    </row>
    <row r="6" spans="2:4" x14ac:dyDescent="0.3">
      <c r="B6" s="21"/>
      <c r="C6" s="11">
        <v>45180</v>
      </c>
      <c r="D6" s="5">
        <v>67.5</v>
      </c>
    </row>
    <row r="7" spans="2:4" x14ac:dyDescent="0.3">
      <c r="B7" s="21"/>
      <c r="C7" s="11">
        <v>45182</v>
      </c>
      <c r="D7" s="5">
        <v>81.599999999999994</v>
      </c>
    </row>
    <row r="8" spans="2:4" x14ac:dyDescent="0.3">
      <c r="B8" s="21"/>
      <c r="C8" s="11"/>
      <c r="D8" s="5"/>
    </row>
    <row r="9" spans="2:4" x14ac:dyDescent="0.3">
      <c r="B9" s="21"/>
      <c r="C9" s="11"/>
      <c r="D9" s="5"/>
    </row>
    <row r="10" spans="2:4" x14ac:dyDescent="0.3">
      <c r="B10" s="21"/>
      <c r="C10" s="11"/>
      <c r="D10" s="5"/>
    </row>
    <row r="11" spans="2:4" x14ac:dyDescent="0.3">
      <c r="B11" s="21"/>
      <c r="C11" s="11"/>
      <c r="D11" s="5"/>
    </row>
    <row r="12" spans="2:4" x14ac:dyDescent="0.3">
      <c r="B12" s="21"/>
      <c r="C12" s="11"/>
      <c r="D12" s="5"/>
    </row>
    <row r="13" spans="2:4" ht="14.5" thickBot="1" x14ac:dyDescent="0.35">
      <c r="B13" s="22"/>
      <c r="C13" s="12"/>
      <c r="D13" s="13"/>
    </row>
    <row r="14" spans="2:4" ht="14.5" thickBot="1" x14ac:dyDescent="0.35">
      <c r="B14" s="8" t="s">
        <v>18</v>
      </c>
      <c r="C14" s="23">
        <f>SUM(D4:D13)</f>
        <v>280.52999999999997</v>
      </c>
      <c r="D14" s="24"/>
    </row>
    <row r="15" spans="2:4" ht="14.5" thickBot="1" x14ac:dyDescent="0.35">
      <c r="B15" s="8" t="s">
        <v>16</v>
      </c>
      <c r="C15" s="25">
        <v>28</v>
      </c>
      <c r="D15" s="26"/>
    </row>
    <row r="16" spans="2:4" ht="14.5" thickBot="1" x14ac:dyDescent="0.35">
      <c r="B16" s="8" t="s">
        <v>17</v>
      </c>
      <c r="C16" s="27">
        <f>C14*C15</f>
        <v>7854.8399999999992</v>
      </c>
      <c r="D16" s="28"/>
    </row>
  </sheetData>
  <mergeCells count="5">
    <mergeCell ref="B2:D2"/>
    <mergeCell ref="B3:B13"/>
    <mergeCell ref="C14:D14"/>
    <mergeCell ref="C15:D15"/>
    <mergeCell ref="C16:D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23B3-9342-409F-B39F-5D086CC4A698}">
  <dimension ref="A1:C15"/>
  <sheetViews>
    <sheetView rightToLeft="1" workbookViewId="0">
      <selection activeCell="D7" sqref="D7"/>
    </sheetView>
  </sheetViews>
  <sheetFormatPr defaultRowHeight="14" x14ac:dyDescent="0.3"/>
  <sheetData>
    <row r="1" spans="1:3" ht="14.5" thickBot="1" x14ac:dyDescent="0.35">
      <c r="A1" s="17" t="s">
        <v>4</v>
      </c>
      <c r="B1" s="18"/>
      <c r="C1" s="19"/>
    </row>
    <row r="2" spans="1:3" x14ac:dyDescent="0.3">
      <c r="A2" s="20" t="s">
        <v>19</v>
      </c>
      <c r="B2" s="7" t="s">
        <v>20</v>
      </c>
      <c r="C2" s="6" t="s">
        <v>15</v>
      </c>
    </row>
    <row r="3" spans="1:3" x14ac:dyDescent="0.3">
      <c r="A3" s="21"/>
      <c r="B3" s="4">
        <v>45234</v>
      </c>
      <c r="C3" s="5">
        <v>90</v>
      </c>
    </row>
    <row r="4" spans="1:3" x14ac:dyDescent="0.3">
      <c r="A4" s="21"/>
      <c r="B4" s="4">
        <v>45251</v>
      </c>
      <c r="C4" s="5">
        <v>94.45</v>
      </c>
    </row>
    <row r="5" spans="1:3" x14ac:dyDescent="0.3">
      <c r="A5" s="21"/>
      <c r="B5" s="4"/>
      <c r="C5" s="5"/>
    </row>
    <row r="6" spans="1:3" x14ac:dyDescent="0.3">
      <c r="A6" s="21"/>
      <c r="B6" s="4"/>
      <c r="C6" s="5"/>
    </row>
    <row r="7" spans="1:3" x14ac:dyDescent="0.3">
      <c r="A7" s="21"/>
      <c r="B7" s="4"/>
      <c r="C7" s="5"/>
    </row>
    <row r="8" spans="1:3" x14ac:dyDescent="0.3">
      <c r="A8" s="21"/>
      <c r="B8" s="4"/>
      <c r="C8" s="5"/>
    </row>
    <row r="9" spans="1:3" x14ac:dyDescent="0.3">
      <c r="A9" s="21"/>
      <c r="B9" s="4"/>
      <c r="C9" s="5"/>
    </row>
    <row r="10" spans="1:3" x14ac:dyDescent="0.3">
      <c r="A10" s="21"/>
      <c r="B10" s="4"/>
      <c r="C10" s="5"/>
    </row>
    <row r="11" spans="1:3" x14ac:dyDescent="0.3">
      <c r="A11" s="21"/>
      <c r="B11" s="4"/>
      <c r="C11" s="5"/>
    </row>
    <row r="12" spans="1:3" ht="14.5" thickBot="1" x14ac:dyDescent="0.35">
      <c r="A12" s="22"/>
      <c r="B12" s="4"/>
      <c r="C12" s="5"/>
    </row>
    <row r="13" spans="1:3" ht="14.5" thickBot="1" x14ac:dyDescent="0.35">
      <c r="A13" s="8" t="s">
        <v>18</v>
      </c>
      <c r="B13" s="23">
        <f>SUM(C3:C12)</f>
        <v>184.45</v>
      </c>
      <c r="C13" s="24"/>
    </row>
    <row r="14" spans="1:3" ht="14.5" thickBot="1" x14ac:dyDescent="0.35">
      <c r="A14" s="8" t="s">
        <v>16</v>
      </c>
      <c r="B14" s="25">
        <v>28</v>
      </c>
      <c r="C14" s="26"/>
    </row>
    <row r="15" spans="1:3" ht="14.5" thickBot="1" x14ac:dyDescent="0.35">
      <c r="A15" s="8" t="s">
        <v>17</v>
      </c>
      <c r="B15" s="27">
        <f>B13*B14</f>
        <v>5164.5999999999995</v>
      </c>
      <c r="C15" s="28"/>
    </row>
  </sheetData>
  <mergeCells count="5">
    <mergeCell ref="A1:C1"/>
    <mergeCell ref="A2:A12"/>
    <mergeCell ref="B13:C13"/>
    <mergeCell ref="B14:C14"/>
    <mergeCell ref="B15:C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EEE5-F93E-4E2F-9025-A5216CE0072C}">
  <dimension ref="A1:C15"/>
  <sheetViews>
    <sheetView rightToLeft="1" workbookViewId="0">
      <selection sqref="A1:C15"/>
    </sheetView>
  </sheetViews>
  <sheetFormatPr defaultRowHeight="14" x14ac:dyDescent="0.3"/>
  <sheetData>
    <row r="1" spans="1:3" ht="14.5" thickBot="1" x14ac:dyDescent="0.35">
      <c r="A1" s="17" t="s">
        <v>5</v>
      </c>
      <c r="B1" s="18"/>
      <c r="C1" s="19"/>
    </row>
    <row r="2" spans="1:3" x14ac:dyDescent="0.3">
      <c r="A2" s="20" t="s">
        <v>19</v>
      </c>
      <c r="B2" s="7" t="s">
        <v>20</v>
      </c>
      <c r="C2" s="6" t="s">
        <v>15</v>
      </c>
    </row>
    <row r="3" spans="1:3" x14ac:dyDescent="0.3">
      <c r="A3" s="21"/>
      <c r="B3" s="4">
        <v>45175</v>
      </c>
      <c r="C3">
        <v>105</v>
      </c>
    </row>
    <row r="4" spans="1:3" x14ac:dyDescent="0.3">
      <c r="A4" s="21"/>
      <c r="B4" s="4">
        <v>45180</v>
      </c>
      <c r="C4">
        <v>132</v>
      </c>
    </row>
    <row r="5" spans="1:3" x14ac:dyDescent="0.3">
      <c r="A5" s="21"/>
      <c r="B5" s="4">
        <v>45249</v>
      </c>
      <c r="C5">
        <v>130</v>
      </c>
    </row>
    <row r="6" spans="1:3" x14ac:dyDescent="0.3">
      <c r="A6" s="21"/>
      <c r="B6" s="4">
        <v>45234</v>
      </c>
      <c r="C6">
        <v>149</v>
      </c>
    </row>
    <row r="7" spans="1:3" x14ac:dyDescent="0.3">
      <c r="A7" s="21"/>
      <c r="B7" s="4"/>
      <c r="C7" s="5"/>
    </row>
    <row r="8" spans="1:3" x14ac:dyDescent="0.3">
      <c r="A8" s="21"/>
      <c r="B8" s="4"/>
      <c r="C8" s="5"/>
    </row>
    <row r="9" spans="1:3" x14ac:dyDescent="0.3">
      <c r="A9" s="21"/>
      <c r="B9" s="4"/>
      <c r="C9" s="5"/>
    </row>
    <row r="10" spans="1:3" x14ac:dyDescent="0.3">
      <c r="A10" s="21"/>
      <c r="B10" s="4"/>
      <c r="C10" s="5"/>
    </row>
    <row r="11" spans="1:3" x14ac:dyDescent="0.3">
      <c r="A11" s="21"/>
      <c r="B11" s="4"/>
      <c r="C11" s="5"/>
    </row>
    <row r="12" spans="1:3" ht="14.5" thickBot="1" x14ac:dyDescent="0.35">
      <c r="A12" s="22"/>
      <c r="B12" s="4"/>
      <c r="C12" s="5"/>
    </row>
    <row r="13" spans="1:3" ht="14.5" thickBot="1" x14ac:dyDescent="0.35">
      <c r="A13" s="8" t="s">
        <v>18</v>
      </c>
      <c r="B13" s="23">
        <f>SUM(C3:C12)</f>
        <v>516</v>
      </c>
      <c r="C13" s="24"/>
    </row>
    <row r="14" spans="1:3" ht="14.5" thickBot="1" x14ac:dyDescent="0.35">
      <c r="A14" s="8" t="s">
        <v>16</v>
      </c>
      <c r="B14" s="25">
        <v>28</v>
      </c>
      <c r="C14" s="26"/>
    </row>
    <row r="15" spans="1:3" ht="14.5" thickBot="1" x14ac:dyDescent="0.35">
      <c r="A15" s="8" t="s">
        <v>17</v>
      </c>
      <c r="B15" s="27">
        <f>B13*B14</f>
        <v>14448</v>
      </c>
      <c r="C15" s="28"/>
    </row>
  </sheetData>
  <mergeCells count="5">
    <mergeCell ref="A1:C1"/>
    <mergeCell ref="A2:A12"/>
    <mergeCell ref="B13:C13"/>
    <mergeCell ref="B14:C14"/>
    <mergeCell ref="B15:C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FE25-4DF7-4614-BA14-12EBE255BF70}">
  <dimension ref="A1:C15"/>
  <sheetViews>
    <sheetView rightToLeft="1" workbookViewId="0">
      <selection sqref="A1:C15"/>
    </sheetView>
  </sheetViews>
  <sheetFormatPr defaultRowHeight="14" x14ac:dyDescent="0.3"/>
  <sheetData>
    <row r="1" spans="1:3" ht="14.5" thickBot="1" x14ac:dyDescent="0.35">
      <c r="A1" s="17" t="s">
        <v>6</v>
      </c>
      <c r="B1" s="18"/>
      <c r="C1" s="19"/>
    </row>
    <row r="2" spans="1:3" x14ac:dyDescent="0.3">
      <c r="A2" s="20" t="s">
        <v>19</v>
      </c>
      <c r="B2" s="7" t="s">
        <v>20</v>
      </c>
      <c r="C2" s="6" t="s">
        <v>15</v>
      </c>
    </row>
    <row r="3" spans="1:3" x14ac:dyDescent="0.3">
      <c r="A3" s="21"/>
      <c r="B3" s="4">
        <v>45173</v>
      </c>
      <c r="C3" s="5">
        <v>35</v>
      </c>
    </row>
    <row r="4" spans="1:3" x14ac:dyDescent="0.3">
      <c r="A4" s="21"/>
      <c r="B4" s="4"/>
      <c r="C4" s="5"/>
    </row>
    <row r="5" spans="1:3" x14ac:dyDescent="0.3">
      <c r="A5" s="21"/>
      <c r="B5" s="4"/>
      <c r="C5" s="5"/>
    </row>
    <row r="6" spans="1:3" x14ac:dyDescent="0.3">
      <c r="A6" s="21"/>
      <c r="B6" s="4"/>
      <c r="C6" s="5"/>
    </row>
    <row r="7" spans="1:3" x14ac:dyDescent="0.3">
      <c r="A7" s="21"/>
      <c r="B7" s="4"/>
      <c r="C7" s="5"/>
    </row>
    <row r="8" spans="1:3" x14ac:dyDescent="0.3">
      <c r="A8" s="21"/>
      <c r="B8" s="4"/>
      <c r="C8" s="5"/>
    </row>
    <row r="9" spans="1:3" x14ac:dyDescent="0.3">
      <c r="A9" s="21"/>
      <c r="B9" s="4"/>
      <c r="C9" s="5"/>
    </row>
    <row r="10" spans="1:3" x14ac:dyDescent="0.3">
      <c r="A10" s="21"/>
      <c r="B10" s="4"/>
      <c r="C10" s="5"/>
    </row>
    <row r="11" spans="1:3" x14ac:dyDescent="0.3">
      <c r="A11" s="21"/>
      <c r="B11" s="4"/>
      <c r="C11" s="5"/>
    </row>
    <row r="12" spans="1:3" ht="14.5" thickBot="1" x14ac:dyDescent="0.35">
      <c r="A12" s="22"/>
      <c r="B12" s="4"/>
      <c r="C12" s="5"/>
    </row>
    <row r="13" spans="1:3" ht="14.5" thickBot="1" x14ac:dyDescent="0.35">
      <c r="A13" s="8" t="s">
        <v>18</v>
      </c>
      <c r="B13" s="23">
        <f>SUM(C3:C12)</f>
        <v>35</v>
      </c>
      <c r="C13" s="24"/>
    </row>
    <row r="14" spans="1:3" ht="14.5" thickBot="1" x14ac:dyDescent="0.35">
      <c r="A14" s="8" t="s">
        <v>16</v>
      </c>
      <c r="B14" s="25">
        <v>28</v>
      </c>
      <c r="C14" s="26"/>
    </row>
    <row r="15" spans="1:3" ht="14.5" thickBot="1" x14ac:dyDescent="0.35">
      <c r="A15" s="8" t="s">
        <v>17</v>
      </c>
      <c r="B15" s="27">
        <f>B13*B14</f>
        <v>980</v>
      </c>
      <c r="C15" s="28"/>
    </row>
  </sheetData>
  <mergeCells count="5">
    <mergeCell ref="A1:C1"/>
    <mergeCell ref="A2:A12"/>
    <mergeCell ref="B13:C13"/>
    <mergeCell ref="B14:C14"/>
    <mergeCell ref="B15:C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DC87-D222-4541-B98E-A11E9FE8D18F}">
  <dimension ref="A1:C15"/>
  <sheetViews>
    <sheetView rightToLeft="1" workbookViewId="0">
      <selection sqref="A1:C15"/>
    </sheetView>
  </sheetViews>
  <sheetFormatPr defaultRowHeight="14" x14ac:dyDescent="0.3"/>
  <sheetData>
    <row r="1" spans="1:3" ht="14.5" thickBot="1" x14ac:dyDescent="0.35">
      <c r="A1" s="17" t="s">
        <v>7</v>
      </c>
      <c r="B1" s="18"/>
      <c r="C1" s="19"/>
    </row>
    <row r="2" spans="1:3" x14ac:dyDescent="0.3">
      <c r="A2" s="20" t="s">
        <v>19</v>
      </c>
      <c r="B2" s="7" t="s">
        <v>20</v>
      </c>
      <c r="C2" s="6" t="s">
        <v>15</v>
      </c>
    </row>
    <row r="3" spans="1:3" x14ac:dyDescent="0.3">
      <c r="A3" s="21"/>
      <c r="B3" s="4">
        <v>45174</v>
      </c>
      <c r="C3" s="5">
        <v>44</v>
      </c>
    </row>
    <row r="4" spans="1:3" x14ac:dyDescent="0.3">
      <c r="A4" s="21"/>
      <c r="B4" s="4"/>
      <c r="C4" s="5"/>
    </row>
    <row r="5" spans="1:3" x14ac:dyDescent="0.3">
      <c r="A5" s="21"/>
      <c r="B5" s="4"/>
      <c r="C5" s="5"/>
    </row>
    <row r="6" spans="1:3" x14ac:dyDescent="0.3">
      <c r="A6" s="21"/>
      <c r="B6" s="4"/>
      <c r="C6" s="5"/>
    </row>
    <row r="7" spans="1:3" x14ac:dyDescent="0.3">
      <c r="A7" s="21"/>
      <c r="B7" s="4"/>
      <c r="C7" s="5"/>
    </row>
    <row r="8" spans="1:3" x14ac:dyDescent="0.3">
      <c r="A8" s="21"/>
      <c r="B8" s="4"/>
      <c r="C8" s="5"/>
    </row>
    <row r="9" spans="1:3" x14ac:dyDescent="0.3">
      <c r="A9" s="21"/>
      <c r="B9" s="4"/>
      <c r="C9" s="5"/>
    </row>
    <row r="10" spans="1:3" x14ac:dyDescent="0.3">
      <c r="A10" s="21"/>
      <c r="B10" s="4"/>
      <c r="C10" s="5"/>
    </row>
    <row r="11" spans="1:3" x14ac:dyDescent="0.3">
      <c r="A11" s="21"/>
      <c r="B11" s="4"/>
      <c r="C11" s="5"/>
    </row>
    <row r="12" spans="1:3" ht="14.5" thickBot="1" x14ac:dyDescent="0.35">
      <c r="A12" s="22"/>
      <c r="B12" s="4"/>
      <c r="C12" s="5"/>
    </row>
    <row r="13" spans="1:3" ht="14.5" thickBot="1" x14ac:dyDescent="0.35">
      <c r="A13" s="8" t="s">
        <v>18</v>
      </c>
      <c r="B13" s="23">
        <f>SUM(C3:C12)</f>
        <v>44</v>
      </c>
      <c r="C13" s="24"/>
    </row>
    <row r="14" spans="1:3" ht="14.5" thickBot="1" x14ac:dyDescent="0.35">
      <c r="A14" s="8" t="s">
        <v>16</v>
      </c>
      <c r="B14" s="25">
        <v>28</v>
      </c>
      <c r="C14" s="26"/>
    </row>
    <row r="15" spans="1:3" ht="14.5" thickBot="1" x14ac:dyDescent="0.35">
      <c r="A15" s="8" t="s">
        <v>17</v>
      </c>
      <c r="B15" s="27">
        <f>B13*B14</f>
        <v>1232</v>
      </c>
      <c r="C15" s="28"/>
    </row>
  </sheetData>
  <mergeCells count="5">
    <mergeCell ref="A1:C1"/>
    <mergeCell ref="A2:A12"/>
    <mergeCell ref="B13:C13"/>
    <mergeCell ref="B14:C14"/>
    <mergeCell ref="B15:C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B2CA-A83B-4878-90B4-C6289E963B92}">
  <dimension ref="A1:C15"/>
  <sheetViews>
    <sheetView rightToLeft="1" workbookViewId="0">
      <selection sqref="A1:C15"/>
    </sheetView>
  </sheetViews>
  <sheetFormatPr defaultRowHeight="14" x14ac:dyDescent="0.3"/>
  <sheetData>
    <row r="1" spans="1:3" ht="14.5" thickBot="1" x14ac:dyDescent="0.35">
      <c r="A1" s="17" t="s">
        <v>8</v>
      </c>
      <c r="B1" s="18"/>
      <c r="C1" s="19"/>
    </row>
    <row r="2" spans="1:3" x14ac:dyDescent="0.3">
      <c r="A2" s="20" t="s">
        <v>19</v>
      </c>
      <c r="B2" s="7" t="s">
        <v>20</v>
      </c>
      <c r="C2" s="6" t="s">
        <v>15</v>
      </c>
    </row>
    <row r="3" spans="1:3" x14ac:dyDescent="0.3">
      <c r="A3" s="21"/>
      <c r="B3" s="4">
        <v>45181</v>
      </c>
      <c r="C3" s="5">
        <v>33.25</v>
      </c>
    </row>
    <row r="4" spans="1:3" x14ac:dyDescent="0.3">
      <c r="A4" s="21"/>
      <c r="B4" s="4"/>
      <c r="C4" s="5"/>
    </row>
    <row r="5" spans="1:3" x14ac:dyDescent="0.3">
      <c r="A5" s="21"/>
      <c r="B5" s="4"/>
      <c r="C5" s="5"/>
    </row>
    <row r="6" spans="1:3" x14ac:dyDescent="0.3">
      <c r="A6" s="21"/>
      <c r="B6" s="4"/>
      <c r="C6" s="5"/>
    </row>
    <row r="7" spans="1:3" x14ac:dyDescent="0.3">
      <c r="A7" s="21"/>
      <c r="B7" s="4"/>
      <c r="C7" s="5"/>
    </row>
    <row r="8" spans="1:3" x14ac:dyDescent="0.3">
      <c r="A8" s="21"/>
      <c r="B8" s="4"/>
      <c r="C8" s="5"/>
    </row>
    <row r="9" spans="1:3" x14ac:dyDescent="0.3">
      <c r="A9" s="21"/>
      <c r="B9" s="4"/>
      <c r="C9" s="5"/>
    </row>
    <row r="10" spans="1:3" x14ac:dyDescent="0.3">
      <c r="A10" s="21"/>
      <c r="B10" s="4"/>
      <c r="C10" s="5"/>
    </row>
    <row r="11" spans="1:3" x14ac:dyDescent="0.3">
      <c r="A11" s="21"/>
      <c r="B11" s="4"/>
      <c r="C11" s="5"/>
    </row>
    <row r="12" spans="1:3" ht="14.5" thickBot="1" x14ac:dyDescent="0.35">
      <c r="A12" s="22"/>
      <c r="B12" s="4"/>
      <c r="C12" s="5"/>
    </row>
    <row r="13" spans="1:3" ht="14.5" thickBot="1" x14ac:dyDescent="0.35">
      <c r="A13" s="8" t="s">
        <v>18</v>
      </c>
      <c r="B13" s="23">
        <f>SUM(C3:C12)</f>
        <v>33.25</v>
      </c>
      <c r="C13" s="24"/>
    </row>
    <row r="14" spans="1:3" ht="14.5" thickBot="1" x14ac:dyDescent="0.35">
      <c r="A14" s="8" t="s">
        <v>16</v>
      </c>
      <c r="B14" s="25">
        <v>28</v>
      </c>
      <c r="C14" s="26"/>
    </row>
    <row r="15" spans="1:3" ht="14.5" thickBot="1" x14ac:dyDescent="0.35">
      <c r="A15" s="8" t="s">
        <v>17</v>
      </c>
      <c r="B15" s="27">
        <f>B13*B14</f>
        <v>931</v>
      </c>
      <c r="C15" s="28"/>
    </row>
  </sheetData>
  <mergeCells count="5">
    <mergeCell ref="A1:C1"/>
    <mergeCell ref="A2:A12"/>
    <mergeCell ref="B13:C13"/>
    <mergeCell ref="B14:C14"/>
    <mergeCell ref="B15:C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2615-8CA5-4A05-9CE7-FA742143A302}">
  <dimension ref="A1:C15"/>
  <sheetViews>
    <sheetView rightToLeft="1" workbookViewId="0">
      <selection sqref="A1:C15"/>
    </sheetView>
  </sheetViews>
  <sheetFormatPr defaultRowHeight="14" x14ac:dyDescent="0.3"/>
  <sheetData>
    <row r="1" spans="1:3" ht="14.5" thickBot="1" x14ac:dyDescent="0.35">
      <c r="A1" s="17" t="s">
        <v>9</v>
      </c>
      <c r="B1" s="18"/>
      <c r="C1" s="19"/>
    </row>
    <row r="2" spans="1:3" x14ac:dyDescent="0.3">
      <c r="A2" s="20" t="s">
        <v>19</v>
      </c>
      <c r="B2" s="7" t="s">
        <v>20</v>
      </c>
      <c r="C2" s="6" t="s">
        <v>15</v>
      </c>
    </row>
    <row r="3" spans="1:3" x14ac:dyDescent="0.3">
      <c r="A3" s="21"/>
      <c r="B3" s="4">
        <v>45190</v>
      </c>
      <c r="C3" s="5">
        <v>144</v>
      </c>
    </row>
    <row r="4" spans="1:3" x14ac:dyDescent="0.3">
      <c r="A4" s="21"/>
      <c r="B4" s="4"/>
      <c r="C4" s="5"/>
    </row>
    <row r="5" spans="1:3" x14ac:dyDescent="0.3">
      <c r="A5" s="21"/>
      <c r="B5" s="4"/>
      <c r="C5" s="5"/>
    </row>
    <row r="6" spans="1:3" x14ac:dyDescent="0.3">
      <c r="A6" s="21"/>
      <c r="B6" s="4"/>
      <c r="C6" s="5"/>
    </row>
    <row r="7" spans="1:3" x14ac:dyDescent="0.3">
      <c r="A7" s="21"/>
      <c r="B7" s="4"/>
      <c r="C7" s="5"/>
    </row>
    <row r="8" spans="1:3" x14ac:dyDescent="0.3">
      <c r="A8" s="21"/>
      <c r="B8" s="4"/>
      <c r="C8" s="5"/>
    </row>
    <row r="9" spans="1:3" x14ac:dyDescent="0.3">
      <c r="A9" s="21"/>
      <c r="B9" s="4"/>
      <c r="C9" s="5"/>
    </row>
    <row r="10" spans="1:3" x14ac:dyDescent="0.3">
      <c r="A10" s="21"/>
      <c r="B10" s="4"/>
      <c r="C10" s="5"/>
    </row>
    <row r="11" spans="1:3" x14ac:dyDescent="0.3">
      <c r="A11" s="21"/>
      <c r="B11" s="4"/>
      <c r="C11" s="5"/>
    </row>
    <row r="12" spans="1:3" ht="14.5" thickBot="1" x14ac:dyDescent="0.35">
      <c r="A12" s="22"/>
      <c r="B12" s="4"/>
      <c r="C12" s="5"/>
    </row>
    <row r="13" spans="1:3" ht="14.5" thickBot="1" x14ac:dyDescent="0.35">
      <c r="A13" s="8" t="s">
        <v>18</v>
      </c>
      <c r="B13" s="23">
        <f>SUM(C3:C12)</f>
        <v>144</v>
      </c>
      <c r="C13" s="24"/>
    </row>
    <row r="14" spans="1:3" ht="14.5" thickBot="1" x14ac:dyDescent="0.35">
      <c r="A14" s="8" t="s">
        <v>16</v>
      </c>
      <c r="B14" s="25">
        <v>28</v>
      </c>
      <c r="C14" s="26"/>
    </row>
    <row r="15" spans="1:3" ht="14.5" thickBot="1" x14ac:dyDescent="0.35">
      <c r="A15" s="8" t="s">
        <v>17</v>
      </c>
      <c r="B15" s="27">
        <f>B13*B14</f>
        <v>4032</v>
      </c>
      <c r="C15" s="28"/>
    </row>
  </sheetData>
  <mergeCells count="5">
    <mergeCell ref="A1:C1"/>
    <mergeCell ref="A2:A12"/>
    <mergeCell ref="B13:C13"/>
    <mergeCell ref="B14:C14"/>
    <mergeCell ref="B15:C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AE2E-934B-422D-B124-22D7C540C27B}">
  <dimension ref="A1:C15"/>
  <sheetViews>
    <sheetView rightToLeft="1" workbookViewId="0">
      <selection sqref="A1:C15"/>
    </sheetView>
  </sheetViews>
  <sheetFormatPr defaultRowHeight="14" x14ac:dyDescent="0.3"/>
  <sheetData>
    <row r="1" spans="1:3" ht="14.5" thickBot="1" x14ac:dyDescent="0.35">
      <c r="A1" s="17" t="s">
        <v>10</v>
      </c>
      <c r="B1" s="18"/>
      <c r="C1" s="19"/>
    </row>
    <row r="2" spans="1:3" x14ac:dyDescent="0.3">
      <c r="A2" s="20" t="s">
        <v>19</v>
      </c>
      <c r="B2" s="7" t="s">
        <v>20</v>
      </c>
      <c r="C2" s="6" t="s">
        <v>15</v>
      </c>
    </row>
    <row r="3" spans="1:3" x14ac:dyDescent="0.3">
      <c r="A3" s="21"/>
      <c r="B3" s="4">
        <v>45190</v>
      </c>
      <c r="C3" s="5">
        <v>15</v>
      </c>
    </row>
    <row r="4" spans="1:3" x14ac:dyDescent="0.3">
      <c r="A4" s="21"/>
      <c r="B4" s="4"/>
      <c r="C4" s="5"/>
    </row>
    <row r="5" spans="1:3" x14ac:dyDescent="0.3">
      <c r="A5" s="21"/>
      <c r="B5" s="4"/>
      <c r="C5" s="5"/>
    </row>
    <row r="6" spans="1:3" x14ac:dyDescent="0.3">
      <c r="A6" s="21"/>
      <c r="B6" s="4"/>
      <c r="C6" s="5"/>
    </row>
    <row r="7" spans="1:3" x14ac:dyDescent="0.3">
      <c r="A7" s="21"/>
      <c r="B7" s="4"/>
      <c r="C7" s="5"/>
    </row>
    <row r="8" spans="1:3" x14ac:dyDescent="0.3">
      <c r="A8" s="21"/>
      <c r="B8" s="4"/>
      <c r="C8" s="5"/>
    </row>
    <row r="9" spans="1:3" x14ac:dyDescent="0.3">
      <c r="A9" s="21"/>
      <c r="B9" s="4"/>
      <c r="C9" s="5"/>
    </row>
    <row r="10" spans="1:3" x14ac:dyDescent="0.3">
      <c r="A10" s="21"/>
      <c r="B10" s="4"/>
      <c r="C10" s="5"/>
    </row>
    <row r="11" spans="1:3" x14ac:dyDescent="0.3">
      <c r="A11" s="21"/>
      <c r="B11" s="4"/>
      <c r="C11" s="5"/>
    </row>
    <row r="12" spans="1:3" ht="14.5" thickBot="1" x14ac:dyDescent="0.35">
      <c r="A12" s="22"/>
      <c r="B12" s="4"/>
      <c r="C12" s="5"/>
    </row>
    <row r="13" spans="1:3" ht="14.5" thickBot="1" x14ac:dyDescent="0.35">
      <c r="A13" s="8" t="s">
        <v>18</v>
      </c>
      <c r="B13" s="23">
        <f>SUM(C3:C12)</f>
        <v>15</v>
      </c>
      <c r="C13" s="24"/>
    </row>
    <row r="14" spans="1:3" ht="14.5" thickBot="1" x14ac:dyDescent="0.35">
      <c r="A14" s="8" t="s">
        <v>16</v>
      </c>
      <c r="B14" s="25">
        <v>28</v>
      </c>
      <c r="C14" s="26"/>
    </row>
    <row r="15" spans="1:3" ht="14.5" thickBot="1" x14ac:dyDescent="0.35">
      <c r="A15" s="8" t="s">
        <v>17</v>
      </c>
      <c r="B15" s="27">
        <f>B13*B14</f>
        <v>420</v>
      </c>
      <c r="C15" s="28"/>
    </row>
  </sheetData>
  <mergeCells count="5">
    <mergeCell ref="A1:C1"/>
    <mergeCell ref="A2:A12"/>
    <mergeCell ref="B13:C13"/>
    <mergeCell ref="B14:C14"/>
    <mergeCell ref="B15:C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E5B1-97EE-4F6D-804F-B916161CB74F}">
  <dimension ref="A1:C15"/>
  <sheetViews>
    <sheetView rightToLeft="1" workbookViewId="0">
      <selection sqref="A1:C15"/>
    </sheetView>
  </sheetViews>
  <sheetFormatPr defaultRowHeight="14" x14ac:dyDescent="0.3"/>
  <sheetData>
    <row r="1" spans="1:3" ht="14.5" thickBot="1" x14ac:dyDescent="0.35">
      <c r="A1" s="17" t="s">
        <v>11</v>
      </c>
      <c r="B1" s="18"/>
      <c r="C1" s="19"/>
    </row>
    <row r="2" spans="1:3" x14ac:dyDescent="0.3">
      <c r="A2" s="20" t="s">
        <v>19</v>
      </c>
      <c r="B2" s="7" t="s">
        <v>20</v>
      </c>
      <c r="C2" s="6" t="s">
        <v>15</v>
      </c>
    </row>
    <row r="3" spans="1:3" x14ac:dyDescent="0.3">
      <c r="A3" s="21"/>
      <c r="B3" s="4">
        <v>45189</v>
      </c>
      <c r="C3" s="5">
        <v>24</v>
      </c>
    </row>
    <row r="4" spans="1:3" x14ac:dyDescent="0.3">
      <c r="A4" s="21"/>
      <c r="B4" s="4"/>
      <c r="C4" s="5"/>
    </row>
    <row r="5" spans="1:3" x14ac:dyDescent="0.3">
      <c r="A5" s="21"/>
      <c r="B5" s="4"/>
      <c r="C5" s="5"/>
    </row>
    <row r="6" spans="1:3" x14ac:dyDescent="0.3">
      <c r="A6" s="21"/>
      <c r="B6" s="4"/>
      <c r="C6" s="5"/>
    </row>
    <row r="7" spans="1:3" x14ac:dyDescent="0.3">
      <c r="A7" s="21"/>
      <c r="B7" s="4"/>
      <c r="C7" s="5"/>
    </row>
    <row r="8" spans="1:3" x14ac:dyDescent="0.3">
      <c r="A8" s="21"/>
      <c r="B8" s="4"/>
      <c r="C8" s="5"/>
    </row>
    <row r="9" spans="1:3" x14ac:dyDescent="0.3">
      <c r="A9" s="21"/>
      <c r="B9" s="4"/>
      <c r="C9" s="5"/>
    </row>
    <row r="10" spans="1:3" x14ac:dyDescent="0.3">
      <c r="A10" s="21"/>
      <c r="B10" s="4"/>
      <c r="C10" s="5"/>
    </row>
    <row r="11" spans="1:3" x14ac:dyDescent="0.3">
      <c r="A11" s="21"/>
      <c r="B11" s="4"/>
      <c r="C11" s="5"/>
    </row>
    <row r="12" spans="1:3" ht="14.5" thickBot="1" x14ac:dyDescent="0.35">
      <c r="A12" s="22"/>
      <c r="B12" s="4"/>
      <c r="C12" s="5"/>
    </row>
    <row r="13" spans="1:3" ht="14.5" thickBot="1" x14ac:dyDescent="0.35">
      <c r="A13" s="8" t="s">
        <v>18</v>
      </c>
      <c r="B13" s="23">
        <f>SUM(C3:C12)</f>
        <v>24</v>
      </c>
      <c r="C13" s="24"/>
    </row>
    <row r="14" spans="1:3" ht="14.5" thickBot="1" x14ac:dyDescent="0.35">
      <c r="A14" s="8" t="s">
        <v>16</v>
      </c>
      <c r="B14" s="25">
        <v>28</v>
      </c>
      <c r="C14" s="26"/>
    </row>
    <row r="15" spans="1:3" ht="14.5" thickBot="1" x14ac:dyDescent="0.35">
      <c r="A15" s="8" t="s">
        <v>17</v>
      </c>
      <c r="B15" s="27">
        <f>B13*B14</f>
        <v>672</v>
      </c>
      <c r="C15" s="28"/>
    </row>
  </sheetData>
  <mergeCells count="5">
    <mergeCell ref="A1:C1"/>
    <mergeCell ref="A2:A12"/>
    <mergeCell ref="B13:C13"/>
    <mergeCell ref="B14:C14"/>
    <mergeCell ref="B15:C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6348-EAA6-4795-84E7-71A18E1AD5E6}">
  <dimension ref="A1:C15"/>
  <sheetViews>
    <sheetView rightToLeft="1" workbookViewId="0">
      <selection sqref="A1:C15"/>
    </sheetView>
  </sheetViews>
  <sheetFormatPr defaultRowHeight="14" x14ac:dyDescent="0.3"/>
  <sheetData>
    <row r="1" spans="1:3" ht="14.5" thickBot="1" x14ac:dyDescent="0.35">
      <c r="A1" s="17" t="s">
        <v>12</v>
      </c>
      <c r="B1" s="18"/>
      <c r="C1" s="19"/>
    </row>
    <row r="2" spans="1:3" x14ac:dyDescent="0.3">
      <c r="A2" s="20" t="s">
        <v>19</v>
      </c>
      <c r="B2" s="7" t="s">
        <v>20</v>
      </c>
      <c r="C2" s="6" t="s">
        <v>15</v>
      </c>
    </row>
    <row r="3" spans="1:3" x14ac:dyDescent="0.3">
      <c r="A3" s="21"/>
      <c r="B3" s="4">
        <v>45189</v>
      </c>
      <c r="C3" s="5">
        <v>28.8</v>
      </c>
    </row>
    <row r="4" spans="1:3" x14ac:dyDescent="0.3">
      <c r="A4" s="21"/>
      <c r="B4" s="4"/>
      <c r="C4" s="5"/>
    </row>
    <row r="5" spans="1:3" x14ac:dyDescent="0.3">
      <c r="A5" s="21"/>
      <c r="B5" s="4"/>
      <c r="C5" s="5"/>
    </row>
    <row r="6" spans="1:3" x14ac:dyDescent="0.3">
      <c r="A6" s="21"/>
      <c r="B6" s="4"/>
      <c r="C6" s="5"/>
    </row>
    <row r="7" spans="1:3" x14ac:dyDescent="0.3">
      <c r="A7" s="21"/>
      <c r="B7" s="4"/>
      <c r="C7" s="5"/>
    </row>
    <row r="8" spans="1:3" x14ac:dyDescent="0.3">
      <c r="A8" s="21"/>
      <c r="B8" s="4"/>
      <c r="C8" s="5"/>
    </row>
    <row r="9" spans="1:3" x14ac:dyDescent="0.3">
      <c r="A9" s="21"/>
      <c r="B9" s="4"/>
      <c r="C9" s="5"/>
    </row>
    <row r="10" spans="1:3" x14ac:dyDescent="0.3">
      <c r="A10" s="21"/>
      <c r="B10" s="4"/>
      <c r="C10" s="5"/>
    </row>
    <row r="11" spans="1:3" x14ac:dyDescent="0.3">
      <c r="A11" s="21"/>
      <c r="B11" s="4"/>
      <c r="C11" s="5"/>
    </row>
    <row r="12" spans="1:3" ht="14.5" thickBot="1" x14ac:dyDescent="0.35">
      <c r="A12" s="22"/>
      <c r="B12" s="4"/>
      <c r="C12" s="5"/>
    </row>
    <row r="13" spans="1:3" ht="14.5" thickBot="1" x14ac:dyDescent="0.35">
      <c r="A13" s="8" t="s">
        <v>18</v>
      </c>
      <c r="B13" s="23">
        <f>SUM(C3:C12)</f>
        <v>28.8</v>
      </c>
      <c r="C13" s="24"/>
    </row>
    <row r="14" spans="1:3" ht="14.5" thickBot="1" x14ac:dyDescent="0.35">
      <c r="A14" s="8" t="s">
        <v>16</v>
      </c>
      <c r="B14" s="25">
        <v>28</v>
      </c>
      <c r="C14" s="26"/>
    </row>
    <row r="15" spans="1:3" ht="14.5" thickBot="1" x14ac:dyDescent="0.35">
      <c r="A15" s="8" t="s">
        <v>17</v>
      </c>
      <c r="B15" s="27">
        <f>B13*B14</f>
        <v>806.4</v>
      </c>
      <c r="C15" s="28"/>
    </row>
  </sheetData>
  <mergeCells count="5">
    <mergeCell ref="A1:C1"/>
    <mergeCell ref="A2:A12"/>
    <mergeCell ref="B13:C13"/>
    <mergeCell ref="B14:C14"/>
    <mergeCell ref="B15:C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09E1-005F-4B2B-A203-F902A640E9D1}">
  <dimension ref="A1:C15"/>
  <sheetViews>
    <sheetView rightToLeft="1" workbookViewId="0">
      <selection sqref="A1:C15"/>
    </sheetView>
  </sheetViews>
  <sheetFormatPr defaultRowHeight="14" x14ac:dyDescent="0.3"/>
  <sheetData>
    <row r="1" spans="1:3" ht="14.5" thickBot="1" x14ac:dyDescent="0.35">
      <c r="A1" s="17" t="s">
        <v>13</v>
      </c>
      <c r="B1" s="18"/>
      <c r="C1" s="19"/>
    </row>
    <row r="2" spans="1:3" x14ac:dyDescent="0.3">
      <c r="A2" s="20" t="s">
        <v>19</v>
      </c>
      <c r="B2" s="7" t="s">
        <v>20</v>
      </c>
      <c r="C2" s="6" t="s">
        <v>15</v>
      </c>
    </row>
    <row r="3" spans="1:3" x14ac:dyDescent="0.3">
      <c r="A3" s="21"/>
      <c r="B3" s="4">
        <v>45235</v>
      </c>
      <c r="C3" s="5">
        <v>43.2</v>
      </c>
    </row>
    <row r="4" spans="1:3" x14ac:dyDescent="0.3">
      <c r="A4" s="21"/>
      <c r="B4" s="4"/>
      <c r="C4" s="5"/>
    </row>
    <row r="5" spans="1:3" x14ac:dyDescent="0.3">
      <c r="A5" s="21"/>
      <c r="B5" s="4"/>
      <c r="C5" s="5"/>
    </row>
    <row r="6" spans="1:3" x14ac:dyDescent="0.3">
      <c r="A6" s="21"/>
      <c r="B6" s="4"/>
      <c r="C6" s="5"/>
    </row>
    <row r="7" spans="1:3" x14ac:dyDescent="0.3">
      <c r="A7" s="21"/>
      <c r="B7" s="4"/>
      <c r="C7" s="5"/>
    </row>
    <row r="8" spans="1:3" x14ac:dyDescent="0.3">
      <c r="A8" s="21"/>
      <c r="B8" s="4"/>
      <c r="C8" s="5"/>
    </row>
    <row r="9" spans="1:3" x14ac:dyDescent="0.3">
      <c r="A9" s="21"/>
      <c r="B9" s="4"/>
      <c r="C9" s="5"/>
    </row>
    <row r="10" spans="1:3" x14ac:dyDescent="0.3">
      <c r="A10" s="21"/>
      <c r="B10" s="4"/>
      <c r="C10" s="5"/>
    </row>
    <row r="11" spans="1:3" x14ac:dyDescent="0.3">
      <c r="A11" s="21"/>
      <c r="B11" s="4"/>
      <c r="C11" s="5"/>
    </row>
    <row r="12" spans="1:3" ht="14.5" thickBot="1" x14ac:dyDescent="0.35">
      <c r="A12" s="22"/>
      <c r="B12" s="4"/>
      <c r="C12" s="5"/>
    </row>
    <row r="13" spans="1:3" ht="14.5" thickBot="1" x14ac:dyDescent="0.35">
      <c r="A13" s="8" t="s">
        <v>18</v>
      </c>
      <c r="B13" s="23">
        <f>SUM(C3:C12)</f>
        <v>43.2</v>
      </c>
      <c r="C13" s="24"/>
    </row>
    <row r="14" spans="1:3" ht="14.5" thickBot="1" x14ac:dyDescent="0.35">
      <c r="A14" s="8" t="s">
        <v>16</v>
      </c>
      <c r="B14" s="25">
        <v>28</v>
      </c>
      <c r="C14" s="26"/>
    </row>
    <row r="15" spans="1:3" ht="14.5" thickBot="1" x14ac:dyDescent="0.35">
      <c r="A15" s="8" t="s">
        <v>17</v>
      </c>
      <c r="B15" s="27">
        <f>B13*B14</f>
        <v>1209.6000000000001</v>
      </c>
      <c r="C15" s="28"/>
    </row>
  </sheetData>
  <mergeCells count="5">
    <mergeCell ref="A1:C1"/>
    <mergeCell ref="A2:A12"/>
    <mergeCell ref="B13:C13"/>
    <mergeCell ref="B14:C14"/>
    <mergeCell ref="B15:C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F6D6-FEB7-4701-9082-E22DF1A86B07}">
  <dimension ref="A1:C15"/>
  <sheetViews>
    <sheetView rightToLeft="1" workbookViewId="0">
      <selection activeCell="D6" sqref="D6"/>
    </sheetView>
  </sheetViews>
  <sheetFormatPr defaultRowHeight="14" x14ac:dyDescent="0.3"/>
  <sheetData>
    <row r="1" spans="1:3" ht="14.5" thickBot="1" x14ac:dyDescent="0.35">
      <c r="A1" s="17" t="s">
        <v>14</v>
      </c>
      <c r="B1" s="18"/>
      <c r="C1" s="19"/>
    </row>
    <row r="2" spans="1:3" x14ac:dyDescent="0.3">
      <c r="A2" s="20" t="s">
        <v>19</v>
      </c>
      <c r="B2" s="9" t="s">
        <v>20</v>
      </c>
      <c r="C2" s="10" t="s">
        <v>15</v>
      </c>
    </row>
    <row r="3" spans="1:3" x14ac:dyDescent="0.3">
      <c r="A3" s="21"/>
      <c r="B3" s="11">
        <v>45235</v>
      </c>
      <c r="C3" s="5">
        <v>49.5</v>
      </c>
    </row>
    <row r="4" spans="1:3" x14ac:dyDescent="0.3">
      <c r="A4" s="21"/>
      <c r="B4" s="11">
        <v>45242</v>
      </c>
      <c r="C4" s="5">
        <v>58.5</v>
      </c>
    </row>
    <row r="5" spans="1:3" x14ac:dyDescent="0.3">
      <c r="A5" s="21"/>
      <c r="B5" s="11"/>
      <c r="C5" s="5"/>
    </row>
    <row r="6" spans="1:3" x14ac:dyDescent="0.3">
      <c r="A6" s="21"/>
      <c r="B6" s="11"/>
      <c r="C6" s="5"/>
    </row>
    <row r="7" spans="1:3" x14ac:dyDescent="0.3">
      <c r="A7" s="21"/>
      <c r="B7" s="11"/>
      <c r="C7" s="5"/>
    </row>
    <row r="8" spans="1:3" x14ac:dyDescent="0.3">
      <c r="A8" s="21"/>
      <c r="B8" s="11"/>
      <c r="C8" s="5"/>
    </row>
    <row r="9" spans="1:3" x14ac:dyDescent="0.3">
      <c r="A9" s="21"/>
      <c r="B9" s="11"/>
      <c r="C9" s="5"/>
    </row>
    <row r="10" spans="1:3" x14ac:dyDescent="0.3">
      <c r="A10" s="21"/>
      <c r="B10" s="11"/>
      <c r="C10" s="5"/>
    </row>
    <row r="11" spans="1:3" x14ac:dyDescent="0.3">
      <c r="A11" s="21"/>
      <c r="B11" s="11"/>
      <c r="C11" s="5"/>
    </row>
    <row r="12" spans="1:3" ht="14.5" thickBot="1" x14ac:dyDescent="0.35">
      <c r="A12" s="22"/>
      <c r="B12" s="12"/>
      <c r="C12" s="13"/>
    </row>
    <row r="13" spans="1:3" ht="14.5" thickBot="1" x14ac:dyDescent="0.35">
      <c r="A13" s="8" t="s">
        <v>18</v>
      </c>
      <c r="B13" s="23">
        <f>SUM(C3:C12)</f>
        <v>108</v>
      </c>
      <c r="C13" s="24"/>
    </row>
    <row r="14" spans="1:3" ht="14.5" thickBot="1" x14ac:dyDescent="0.35">
      <c r="A14" s="8" t="s">
        <v>16</v>
      </c>
      <c r="B14" s="25">
        <v>28</v>
      </c>
      <c r="C14" s="26"/>
    </row>
    <row r="15" spans="1:3" ht="14.5" thickBot="1" x14ac:dyDescent="0.35">
      <c r="A15" s="8" t="s">
        <v>17</v>
      </c>
      <c r="B15" s="27">
        <f>B13*B14</f>
        <v>3024</v>
      </c>
      <c r="C15" s="28"/>
    </row>
  </sheetData>
  <mergeCells count="5">
    <mergeCell ref="A1:C1"/>
    <mergeCell ref="A2:A12"/>
    <mergeCell ref="B13:C13"/>
    <mergeCell ref="B14:C14"/>
    <mergeCell ref="B15:C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72AF-FA8B-48F6-9FC9-D229963A8EE1}">
  <dimension ref="B1:F16"/>
  <sheetViews>
    <sheetView rightToLeft="1" tabSelected="1" workbookViewId="0">
      <selection activeCell="G8" sqref="G8"/>
    </sheetView>
  </sheetViews>
  <sheetFormatPr defaultRowHeight="14" x14ac:dyDescent="0.3"/>
  <cols>
    <col min="2" max="2" width="13.9140625" bestFit="1" customWidth="1"/>
    <col min="3" max="3" width="6.58203125" bestFit="1" customWidth="1"/>
    <col min="4" max="4" width="9.83203125" bestFit="1" customWidth="1"/>
    <col min="5" max="5" width="7.6640625" bestFit="1" customWidth="1"/>
    <col min="6" max="6" width="13.9140625" bestFit="1" customWidth="1"/>
  </cols>
  <sheetData>
    <row r="1" spans="2:6" ht="14.5" thickBot="1" x14ac:dyDescent="0.35"/>
    <row r="2" spans="2:6" ht="14.5" thickBot="1" x14ac:dyDescent="0.35">
      <c r="B2" s="34" t="s">
        <v>24</v>
      </c>
      <c r="C2" s="35"/>
      <c r="D2" s="35"/>
      <c r="E2" s="35"/>
      <c r="F2" s="36"/>
    </row>
    <row r="3" spans="2:6" x14ac:dyDescent="0.3">
      <c r="B3" s="39" t="s">
        <v>19</v>
      </c>
      <c r="C3" s="37" t="s">
        <v>20</v>
      </c>
      <c r="D3" s="37" t="s">
        <v>22</v>
      </c>
      <c r="E3" s="37" t="s">
        <v>23</v>
      </c>
      <c r="F3" s="38" t="s">
        <v>18</v>
      </c>
    </row>
    <row r="4" spans="2:6" x14ac:dyDescent="0.3">
      <c r="B4" s="40"/>
      <c r="C4" s="4"/>
      <c r="D4" s="4"/>
      <c r="E4" s="4"/>
      <c r="F4" s="5"/>
    </row>
    <row r="5" spans="2:6" x14ac:dyDescent="0.3">
      <c r="B5" s="40"/>
      <c r="C5" s="4"/>
      <c r="D5" s="4"/>
      <c r="E5" s="4"/>
      <c r="F5" s="5"/>
    </row>
    <row r="6" spans="2:6" x14ac:dyDescent="0.3">
      <c r="B6" s="40"/>
      <c r="C6" s="4"/>
      <c r="D6" s="4"/>
      <c r="E6" s="4"/>
      <c r="F6" s="5"/>
    </row>
    <row r="7" spans="2:6" x14ac:dyDescent="0.3">
      <c r="B7" s="40"/>
      <c r="C7" s="4"/>
      <c r="D7" s="4"/>
      <c r="E7" s="4"/>
      <c r="F7" s="5"/>
    </row>
    <row r="8" spans="2:6" x14ac:dyDescent="0.3">
      <c r="B8" s="40"/>
      <c r="C8" s="4"/>
      <c r="D8" s="4"/>
      <c r="E8" s="4"/>
      <c r="F8" s="5"/>
    </row>
    <row r="9" spans="2:6" x14ac:dyDescent="0.3">
      <c r="B9" s="40"/>
      <c r="C9" s="4"/>
      <c r="D9" s="4"/>
      <c r="E9" s="4"/>
      <c r="F9" s="5"/>
    </row>
    <row r="10" spans="2:6" x14ac:dyDescent="0.3">
      <c r="B10" s="40"/>
      <c r="C10" s="4"/>
      <c r="D10" s="4"/>
      <c r="E10" s="4"/>
      <c r="F10" s="5"/>
    </row>
    <row r="11" spans="2:6" x14ac:dyDescent="0.3">
      <c r="B11" s="40"/>
      <c r="C11" s="4"/>
      <c r="D11" s="4"/>
      <c r="E11" s="4"/>
      <c r="F11" s="5"/>
    </row>
    <row r="12" spans="2:6" x14ac:dyDescent="0.3">
      <c r="B12" s="40"/>
      <c r="C12" s="4"/>
      <c r="D12" s="4"/>
      <c r="E12" s="4"/>
      <c r="F12" s="5"/>
    </row>
    <row r="13" spans="2:6" ht="14.5" thickBot="1" x14ac:dyDescent="0.35">
      <c r="B13" s="41"/>
      <c r="C13" s="4"/>
      <c r="D13" s="4"/>
      <c r="E13" s="4"/>
      <c r="F13" s="5"/>
    </row>
    <row r="14" spans="2:6" ht="14.5" thickBot="1" x14ac:dyDescent="0.35">
      <c r="B14" s="42" t="s">
        <v>18</v>
      </c>
      <c r="C14" s="23">
        <f>SUM(F4:F13)</f>
        <v>0</v>
      </c>
      <c r="D14" s="23"/>
      <c r="E14" s="23"/>
      <c r="F14" s="24"/>
    </row>
    <row r="15" spans="2:6" ht="14.5" thickBot="1" x14ac:dyDescent="0.35">
      <c r="B15" s="42" t="s">
        <v>16</v>
      </c>
      <c r="C15" s="25">
        <v>28</v>
      </c>
      <c r="D15" s="25"/>
      <c r="E15" s="25"/>
      <c r="F15" s="26"/>
    </row>
    <row r="16" spans="2:6" ht="14.5" thickBot="1" x14ac:dyDescent="0.35">
      <c r="B16" s="42" t="s">
        <v>17</v>
      </c>
      <c r="C16" s="27">
        <f>C14*C15</f>
        <v>0</v>
      </c>
      <c r="D16" s="27"/>
      <c r="E16" s="27"/>
      <c r="F16" s="28"/>
    </row>
  </sheetData>
  <mergeCells count="5">
    <mergeCell ref="B2:F2"/>
    <mergeCell ref="B3:B13"/>
    <mergeCell ref="C14:F14"/>
    <mergeCell ref="C15:F15"/>
    <mergeCell ref="C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חודש 09</vt:lpstr>
      <vt:lpstr>צבי סטרוק</vt:lpstr>
      <vt:lpstr>משק אחיה</vt:lpstr>
      <vt:lpstr>ענת צור</vt:lpstr>
      <vt:lpstr>מורשת ותרבות ביריחו</vt:lpstr>
      <vt:lpstr>אליקים בן פורת</vt:lpstr>
      <vt:lpstr>יקב טורא - ארץ הצבי</vt:lpstr>
      <vt:lpstr>יקב גבעות</vt:lpstr>
      <vt:lpstr>גרשון בר-און</vt:lpstr>
      <vt:lpstr>עמותת אלעד - עיר דוד</vt:lpstr>
      <vt:lpstr>מופת עציון ויהודה</vt:lpstr>
      <vt:lpstr>יקב פסגות</vt:lpstr>
      <vt:lpstr>ישי ז'ייציק</vt:lpstr>
      <vt:lpstr>כרמי קידה בע"מ</vt:lpstr>
      <vt:lpstr>גיורא גז</vt:lpstr>
      <vt:lpstr>גן השדה חווה</vt:lpstr>
      <vt:lpstr>הירש אברהם - דשנה של יריחו</vt:lpstr>
      <vt:lpstr>פורמט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Tsuberi</dc:creator>
  <cp:lastModifiedBy>Guy Tsuberi</cp:lastModifiedBy>
  <dcterms:created xsi:type="dcterms:W3CDTF">2023-12-24T11:21:54Z</dcterms:created>
  <dcterms:modified xsi:type="dcterms:W3CDTF">2024-02-08T12:09:23Z</dcterms:modified>
</cp:coreProperties>
</file>
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User\‏‏שולחן העבודה\"/>
    </mc:Choice>
  </mc:AlternateContent>
  <xr:revisionPtr revIDLastSave="0" documentId="8_{9473B46E-2768-4FAC-A5B1-A36BEA5661ED}" xr6:coauthVersionLast="47" xr6:coauthVersionMax="47" xr10:uidLastSave="{00000000-0000-0000-0000-000000000000}"/>
  <bookViews>
    <workbookView xWindow="-108" yWindow="-108" windowWidth="23256" windowHeight="12576" activeTab="3" xr2:uid="{2D7AE9B4-473E-4CAA-BE7B-52DD0A460662}"/>
  </bookViews>
  <sheets>
    <sheet name="יום שני ה4 לספטמבר" sheetId="1" r:id="rId1"/>
    <sheet name="רשימת ראשי צוותים" sheetId="3" r:id="rId2"/>
    <sheet name="יום שני ה11 לספטמבר" sheetId="2" r:id="rId3"/>
    <sheet name="חישובי שעות חודש ספטמבר" sheetId="5" r:id="rId4"/>
    <sheet name="עשרת ימי תשובה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5" l="1"/>
  <c r="U15" i="5" s="1"/>
  <c r="BB13" i="5"/>
  <c r="BB15" i="5" s="1"/>
  <c r="AW13" i="5"/>
  <c r="AW15" i="5" s="1"/>
  <c r="AU13" i="5"/>
  <c r="AU15" i="5" s="1"/>
  <c r="AQ13" i="5"/>
  <c r="AQ15" i="5" s="1"/>
  <c r="AO13" i="5"/>
  <c r="AO15" i="5" s="1"/>
  <c r="AM13" i="5"/>
  <c r="AM15" i="5" s="1"/>
  <c r="AK13" i="5"/>
  <c r="AK15" i="5" s="1"/>
  <c r="AI13" i="5"/>
  <c r="AI15" i="5" s="1"/>
  <c r="AF13" i="5"/>
  <c r="AF15" i="5" s="1"/>
  <c r="AC13" i="5"/>
  <c r="AC15" i="5" s="1"/>
  <c r="X13" i="5"/>
  <c r="X15" i="5" s="1"/>
  <c r="Q13" i="5"/>
  <c r="Q15" i="5" s="1"/>
  <c r="M13" i="5"/>
  <c r="I13" i="5"/>
  <c r="I15" i="5" s="1"/>
  <c r="E13" i="5"/>
  <c r="B13" i="5"/>
  <c r="M15" i="5" l="1"/>
  <c r="L1" i="1"/>
  <c r="L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<sst xmlns="http://schemas.openxmlformats.org/spreadsheetml/2006/main" count="1270" uniqueCount="223">
  <si>
    <t>יום שני י"ח אלול ה4 לספטמבר</t>
  </si>
  <si>
    <t>כוכב השחר</t>
  </si>
  <si>
    <t>משה זמין</t>
  </si>
  <si>
    <t>יום שלישי י"ט באלול 5 לספטמבר</t>
  </si>
  <si>
    <t>יום רביעי כ' באלול 6 לספטמבר</t>
  </si>
  <si>
    <t>יאיר צור</t>
  </si>
  <si>
    <t xml:space="preserve"> ידידיה</t>
  </si>
  <si>
    <t>צביקי</t>
  </si>
  <si>
    <t xml:space="preserve">                                       יום שלישי י"ט באלול 5 לספטמבר                                          </t>
  </si>
  <si>
    <t>מיקום</t>
  </si>
  <si>
    <t>גוש שילה</t>
  </si>
  <si>
    <t>אליקים</t>
  </si>
  <si>
    <t>יצהר</t>
  </si>
  <si>
    <t>בית חוגלה</t>
  </si>
  <si>
    <t>ארנה</t>
  </si>
  <si>
    <t>פסגות</t>
  </si>
  <si>
    <t>כמות</t>
  </si>
  <si>
    <t>עין רשאש</t>
  </si>
  <si>
    <t>יום חמישי כ"א באלול 7 לספטמבר</t>
  </si>
  <si>
    <t>..</t>
  </si>
  <si>
    <t>אדם</t>
  </si>
  <si>
    <t>מבואות</t>
  </si>
  <si>
    <t>4נ</t>
  </si>
  <si>
    <t>אברימי</t>
  </si>
  <si>
    <t>צריך מזמרה</t>
  </si>
  <si>
    <t>מלאכי השלום</t>
  </si>
  <si>
    <t>אליאב מילר</t>
  </si>
  <si>
    <t>גבעת הראל</t>
  </si>
  <si>
    <t>אלעזר</t>
  </si>
  <si>
    <t>יקב גבעות</t>
  </si>
  <si>
    <t>רועי</t>
  </si>
  <si>
    <t>גן השדה</t>
  </si>
  <si>
    <t>הר ברכה</t>
  </si>
  <si>
    <t>עמית טורא</t>
  </si>
  <si>
    <t>30-35</t>
  </si>
  <si>
    <t xml:space="preserve">רז </t>
  </si>
  <si>
    <t>גביש</t>
  </si>
  <si>
    <t>שינדלר</t>
  </si>
  <si>
    <t>חוג'ה הלל אורי</t>
  </si>
  <si>
    <t>וילף אלעד</t>
  </si>
  <si>
    <t>אוריאל</t>
  </si>
  <si>
    <t>יונתן מנדלוביץ</t>
  </si>
  <si>
    <t>מרום</t>
  </si>
  <si>
    <t>ברגר אלישע דניאל</t>
  </si>
  <si>
    <t>איזק איתן</t>
  </si>
  <si>
    <t>אפשטיין אלעזר</t>
  </si>
  <si>
    <t>זאב בן יעקב</t>
  </si>
  <si>
    <t>בית הלחמי בארי דוד</t>
  </si>
  <si>
    <t>גרינואלד גלעד</t>
  </si>
  <si>
    <t>יואב יצחקוב</t>
  </si>
  <si>
    <t>עזיזי</t>
  </si>
  <si>
    <t>אדוריאן אבשלום ישראל</t>
  </si>
  <si>
    <t>תירוש אופיר עובד</t>
  </si>
  <si>
    <t>מולודיק אלרעי ישראל</t>
  </si>
  <si>
    <t>נוה כרם</t>
  </si>
  <si>
    <t>עזיזי דביר</t>
  </si>
  <si>
    <t>פרנקל נווה</t>
  </si>
  <si>
    <t>יוסף מנחם</t>
  </si>
  <si>
    <t>חלפון</t>
  </si>
  <si>
    <t>גדות אליה</t>
  </si>
  <si>
    <t>ג'ייקוב רעי</t>
  </si>
  <si>
    <t>שלם עברי נפתלי</t>
  </si>
  <si>
    <t>ראש אפיק יוסף</t>
  </si>
  <si>
    <t>רביבו יאיר דוד</t>
  </si>
  <si>
    <t>אביב סימון</t>
  </si>
  <si>
    <t>דאלעי אלישיב</t>
  </si>
  <si>
    <t>איזק אלישע</t>
  </si>
  <si>
    <t>גרדי שליו</t>
  </si>
  <si>
    <t>דרדיק בניה</t>
  </si>
  <si>
    <t>שטיין ישראל</t>
  </si>
  <si>
    <t>שטיינמץ איתן אהרון</t>
  </si>
  <si>
    <t>שיינדל שריה יצחק</t>
  </si>
  <si>
    <t>שקד</t>
  </si>
  <si>
    <t>שבו</t>
  </si>
  <si>
    <t>צור</t>
  </si>
  <si>
    <t>גלעד הראל</t>
  </si>
  <si>
    <t>שילה סטרוק</t>
  </si>
  <si>
    <t>חן חייקין</t>
  </si>
  <si>
    <t>סופר יאיר עמוס</t>
  </si>
  <si>
    <t>עובדיה ישי אליהו</t>
  </si>
  <si>
    <t>דומן אהרן דוד</t>
  </si>
  <si>
    <t>הראש אליה מאיר</t>
  </si>
  <si>
    <t>ניתאי מעטוף</t>
  </si>
  <si>
    <t>דור</t>
  </si>
  <si>
    <t>אליהו דנינו</t>
  </si>
  <si>
    <t>כהן ניר יצחק</t>
  </si>
  <si>
    <t>כוהן אמין אורי</t>
  </si>
  <si>
    <t>לוי יהונתן</t>
  </si>
  <si>
    <t>רונצקי יהונתן</t>
  </si>
  <si>
    <t>שורץ אורי</t>
  </si>
  <si>
    <t>נצר כהן</t>
  </si>
  <si>
    <t>אבינעם טאוב</t>
  </si>
  <si>
    <t>גל ארז</t>
  </si>
  <si>
    <t>עובדיה אברהם ישראל</t>
  </si>
  <si>
    <t>וירצבורגר מעיין שלמה</t>
  </si>
  <si>
    <t>שמח ידידיה</t>
  </si>
  <si>
    <t>עמיאל כהן</t>
  </si>
  <si>
    <t>ישראל דהן</t>
  </si>
  <si>
    <t>סער ז'בנר</t>
  </si>
  <si>
    <t>פיטוסי</t>
  </si>
  <si>
    <t>פרוכטר איתן</t>
  </si>
  <si>
    <t>זגלמן גיל ברוך</t>
  </si>
  <si>
    <t>לוי אלחי יעקב</t>
  </si>
  <si>
    <t>שגב</t>
  </si>
  <si>
    <t>גטנו</t>
  </si>
  <si>
    <t>עזרן יותם</t>
  </si>
  <si>
    <t>שמואל סלם</t>
  </si>
  <si>
    <t>הערות</t>
  </si>
  <si>
    <t>צוות</t>
  </si>
  <si>
    <t>ברג</t>
  </si>
  <si>
    <t>נהוראי</t>
  </si>
  <si>
    <t>אלון</t>
  </si>
  <si>
    <t>עקיבא</t>
  </si>
  <si>
    <t>שעת יציאה</t>
  </si>
  <si>
    <t>רכב</t>
  </si>
  <si>
    <t>אוטובוס</t>
  </si>
  <si>
    <t>טרנספורטר</t>
  </si>
  <si>
    <t>צוות 1</t>
  </si>
  <si>
    <t>צוות 2</t>
  </si>
  <si>
    <t>צוות 3</t>
  </si>
  <si>
    <t>צוות 4</t>
  </si>
  <si>
    <t>צוות 5</t>
  </si>
  <si>
    <t>צוות 6</t>
  </si>
  <si>
    <t>צוות 7</t>
  </si>
  <si>
    <t>צוות 8</t>
  </si>
  <si>
    <t>צוות 9</t>
  </si>
  <si>
    <t>צוות 10</t>
  </si>
  <si>
    <t>צוות 11</t>
  </si>
  <si>
    <t>אמיתי משה</t>
  </si>
  <si>
    <t>עמירם גלעד</t>
  </si>
  <si>
    <t>נווה פיקארד</t>
  </si>
  <si>
    <t>נצר שפילמן</t>
  </si>
  <si>
    <t>יוגב גמליאל</t>
  </si>
  <si>
    <t>גלעד אקרמן</t>
  </si>
  <si>
    <t>דוד מור יוסף</t>
  </si>
  <si>
    <t>יואל וגנר</t>
  </si>
  <si>
    <t>אוריאל חסנסון</t>
  </si>
  <si>
    <t>אשבל</t>
  </si>
  <si>
    <t>הרב עזרא</t>
  </si>
  <si>
    <t>הרב אריאל</t>
  </si>
  <si>
    <t>הרב אבישי</t>
  </si>
  <si>
    <t>משה  קלין</t>
  </si>
  <si>
    <t>הרב וייס</t>
  </si>
  <si>
    <t>תורנים</t>
  </si>
  <si>
    <t>מטבח</t>
  </si>
  <si>
    <t>פרוכטר</t>
  </si>
  <si>
    <t xml:space="preserve">ניר </t>
  </si>
  <si>
    <t xml:space="preserve"> נצר</t>
  </si>
  <si>
    <t>אופיר תירוש</t>
  </si>
  <si>
    <t>משה קללו</t>
  </si>
  <si>
    <t>אשבל עם שלם</t>
  </si>
  <si>
    <t>אלרועי</t>
  </si>
  <si>
    <t>הרב יצחק</t>
  </si>
  <si>
    <t>כלי תחבורה</t>
  </si>
  <si>
    <t>ברכת האדמה</t>
  </si>
  <si>
    <t>.</t>
  </si>
  <si>
    <t>יום שני 11 בספטמבר</t>
  </si>
  <si>
    <t>יו</t>
  </si>
  <si>
    <t>שמח</t>
  </si>
  <si>
    <t>אבינעם</t>
  </si>
  <si>
    <t>הסעה</t>
  </si>
  <si>
    <t>שלמה</t>
  </si>
  <si>
    <t>עיר דוד</t>
  </si>
  <si>
    <t>כיתה י'</t>
  </si>
  <si>
    <t>עזרא</t>
  </si>
  <si>
    <t>אריאל ישראלוביץ</t>
  </si>
  <si>
    <t>אבישי</t>
  </si>
  <si>
    <t>משה</t>
  </si>
  <si>
    <t>הרב אריאל והרב אבישי</t>
  </si>
  <si>
    <t xml:space="preserve"> </t>
  </si>
  <si>
    <t>משק אחיה</t>
  </si>
  <si>
    <t>יום שלישי יט באלול</t>
  </si>
  <si>
    <t>אש קודש</t>
  </si>
  <si>
    <t>אריאל</t>
  </si>
  <si>
    <t>אבישי מעודה</t>
  </si>
  <si>
    <t>אריאל וייס</t>
  </si>
  <si>
    <t>משה ועזרא</t>
  </si>
  <si>
    <t>שליו פרנקל</t>
  </si>
  <si>
    <t>גלעד עמירם</t>
  </si>
  <si>
    <t>שעת הסעה6:20</t>
  </si>
  <si>
    <t>מזמרות</t>
  </si>
  <si>
    <t>עזיזי עמישב</t>
  </si>
  <si>
    <t>דרך הגעה</t>
  </si>
  <si>
    <t>יום שלישי</t>
  </si>
  <si>
    <t>אש קודם</t>
  </si>
  <si>
    <t>נצר</t>
  </si>
  <si>
    <t>אסף אזולאי</t>
  </si>
  <si>
    <t>עדי עד</t>
  </si>
  <si>
    <t>גיורא</t>
  </si>
  <si>
    <t>רביעי</t>
  </si>
  <si>
    <t>משה קליין</t>
  </si>
  <si>
    <t>12 ספ'</t>
  </si>
  <si>
    <t>13-ספט'</t>
  </si>
  <si>
    <t>19לספט'</t>
  </si>
  <si>
    <t>20 לספט'</t>
  </si>
  <si>
    <t>21 לספ'</t>
  </si>
  <si>
    <t>סכ"ה</t>
  </si>
  <si>
    <t>ידידיה</t>
  </si>
  <si>
    <t>4\9</t>
  </si>
  <si>
    <t>5\9</t>
  </si>
  <si>
    <t>שעות</t>
  </si>
  <si>
    <t>תאריך</t>
  </si>
  <si>
    <t>6\9</t>
  </si>
  <si>
    <t>7\9</t>
  </si>
  <si>
    <t>11\9</t>
  </si>
  <si>
    <t>12\9</t>
  </si>
  <si>
    <t>13\9</t>
  </si>
  <si>
    <t>19\9</t>
  </si>
  <si>
    <t>20\9</t>
  </si>
  <si>
    <t>טורא</t>
  </si>
  <si>
    <t>4\11</t>
  </si>
  <si>
    <t>21\11</t>
  </si>
  <si>
    <t>19\11</t>
  </si>
  <si>
    <t>גרשון</t>
  </si>
  <si>
    <t>5\11</t>
  </si>
  <si>
    <t>יהודה עציון</t>
  </si>
  <si>
    <t>21\9</t>
  </si>
  <si>
    <t>ז'ייציק</t>
  </si>
  <si>
    <t>ענר</t>
  </si>
  <si>
    <t>12\11</t>
  </si>
  <si>
    <t>gershon.baron@gmail.com</t>
  </si>
  <si>
    <t>avremi9@gmail.com</t>
  </si>
  <si>
    <t>office.ganhasade@gmail.com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</si>
</sst>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charset val="177"/>
      <scheme val="minor"/>
    </font>
    <font>
      <sz val="18"/>
      <color theme="1"/>
      <name val="Arial"/>
      <family val="2"/>
      <charset val="177"/>
      <scheme val="minor"/>
    </font>
    <font>
      <sz val="20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color theme="4"/>
      <name val="Arial"/>
      <family val="2"/>
      <scheme val="minor"/>
    </font>
    <font>
      <sz val="11"/>
      <color theme="8" tint="-0.249977111117893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color rgb="FF92D05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9"/>
      <name val="Arial"/>
      <family val="2"/>
      <scheme val="minor"/>
    </font>
    <font>
      <sz val="11"/>
      <color theme="9"/>
      <name val="Arial"/>
      <family val="2"/>
      <charset val="177"/>
      <scheme val="minor"/>
    </font>
    <font>
      <b/>
      <i/>
      <u/>
      <sz val="11"/>
      <color theme="1"/>
      <name val="Arial"/>
      <family val="2"/>
      <scheme val="minor"/>
    </font>
    <font>
      <sz val="11"/>
      <color rgb="FF92D050"/>
      <name val="Arial"/>
      <family val="2"/>
      <charset val="177"/>
      <scheme val="minor"/>
    </font>
    <font>
      <sz val="11"/>
      <color theme="9" tint="0.39997558519241921"/>
      <name val="Arial"/>
      <family val="2"/>
      <scheme val="minor"/>
    </font>
    <font>
      <sz val="11"/>
      <color theme="9" tint="0.59999389629810485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9" borderId="0" xfId="0" applyFill="1"/>
    <xf numFmtId="0" fontId="9" fillId="9" borderId="0" xfId="0" applyFont="1" applyFill="1"/>
    <xf numFmtId="0" fontId="3" fillId="0" borderId="0" xfId="0" applyFont="1"/>
    <xf numFmtId="0" fontId="11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10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0" fillId="10" borderId="0" xfId="0" applyFill="1"/>
    <xf numFmtId="0" fontId="1" fillId="10" borderId="0" xfId="0" applyFont="1" applyFill="1"/>
    <xf numFmtId="0" fontId="2" fillId="10" borderId="0" xfId="0" applyFont="1" applyFill="1"/>
    <xf numFmtId="0" fontId="0" fillId="11" borderId="0" xfId="0" applyFill="1" applyAlignment="1">
      <alignment horizontal="right"/>
    </xf>
    <xf numFmtId="0" fontId="9" fillId="11" borderId="0" xfId="0" applyFont="1" applyFill="1"/>
    <xf numFmtId="0" fontId="0" fillId="11" borderId="0" xfId="0" applyFill="1"/>
    <xf numFmtId="20" fontId="0" fillId="11" borderId="0" xfId="0" applyNumberFormat="1" applyFill="1"/>
    <xf numFmtId="0" fontId="12" fillId="0" borderId="0" xfId="0" applyFont="1"/>
    <xf numFmtId="0" fontId="9" fillId="0" borderId="0" xfId="0" applyFont="1" applyAlignment="1">
      <alignment horizontal="right"/>
    </xf>
    <xf numFmtId="0" fontId="5" fillId="0" borderId="0" xfId="0" applyFont="1"/>
    <xf numFmtId="0" fontId="13" fillId="2" borderId="0" xfId="0" applyFont="1" applyFill="1"/>
    <xf numFmtId="0" fontId="0" fillId="12" borderId="0" xfId="0" applyFill="1"/>
    <xf numFmtId="0" fontId="8" fillId="0" borderId="0" xfId="0" applyFont="1"/>
    <xf numFmtId="20" fontId="0" fillId="0" borderId="0" xfId="0" applyNumberFormat="1"/>
    <xf numFmtId="0" fontId="0" fillId="13" borderId="0" xfId="0" applyFill="1"/>
    <xf numFmtId="20" fontId="0" fillId="13" borderId="0" xfId="0" applyNumberFormat="1" applyFill="1"/>
    <xf numFmtId="0" fontId="1" fillId="12" borderId="0" xfId="0" applyFont="1" applyFill="1"/>
    <xf numFmtId="0" fontId="2" fillId="12" borderId="0" xfId="0" applyFont="1" applyFill="1"/>
    <xf numFmtId="0" fontId="0" fillId="0" borderId="0" xfId="0" applyFill="1"/>
    <xf numFmtId="0" fontId="1" fillId="0" borderId="0" xfId="0" applyFont="1" applyFill="1"/>
    <xf numFmtId="20" fontId="0" fillId="0" borderId="0" xfId="0" applyNumberFormat="1" applyFill="1"/>
    <xf numFmtId="20" fontId="2" fillId="0" borderId="0" xfId="0" applyNumberFormat="1" applyFont="1" applyFill="1"/>
    <xf numFmtId="0" fontId="0" fillId="0" borderId="0" xfId="0" applyFill="1" applyAlignment="1">
      <alignment horizontal="right"/>
    </xf>
    <xf numFmtId="20" fontId="0" fillId="12" borderId="0" xfId="0" applyNumberFormat="1" applyFill="1"/>
    <xf numFmtId="0" fontId="4" fillId="0" borderId="0" xfId="0" applyFont="1"/>
    <xf numFmtId="0" fontId="14" fillId="0" borderId="0" xfId="0" applyFont="1"/>
    <xf numFmtId="0" fontId="0" fillId="14" borderId="0" xfId="0" applyFill="1"/>
    <xf numFmtId="20" fontId="0" fillId="14" borderId="0" xfId="0" applyNumberFormat="1" applyFill="1"/>
    <xf numFmtId="0" fontId="15" fillId="0" borderId="0" xfId="0" applyFont="1"/>
    <xf numFmtId="0" fontId="2" fillId="0" borderId="0" xfId="0" applyFont="1"/>
    <xf numFmtId="16" fontId="0" fillId="0" borderId="0" xfId="0" applyNumberFormat="1"/>
    <xf numFmtId="0" fontId="16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office.ganhasade@gmail.com" TargetMode="External"/><Relationship Id="rId2" Type="http://schemas.openxmlformats.org/officeDocument/2006/relationships/hyperlink" Target="mailto:avremi9@gmail.com" TargetMode="External"/><Relationship Id="rId1" Type="http://schemas.openxmlformats.org/officeDocument/2006/relationships/hyperlink" Target="mailto:gershon.baron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8F79-3859-42B5-8255-82A179F51454}">
  <dimension ref="A1:AX48"/>
  <sheetViews>
    <sheetView rightToLeft="1" topLeftCell="AA4" zoomScale="70" zoomScaleNormal="85" workbookViewId="0">
      <selection activeCell="AS30" sqref="AS30"/>
    </sheetView>
  </sheetViews>
  <sheetFormatPr defaultRowHeight="13.8" x14ac:dyDescent="0.25"/>
  <cols>
    <col min="3" max="3" width="14.59765625" customWidth="1"/>
    <col min="5" max="5" width="16.5" customWidth="1"/>
    <col min="6" max="6" width="12.296875" customWidth="1"/>
    <col min="7" max="7" width="8.796875" customWidth="1"/>
    <col min="8" max="8" width="15.09765625" customWidth="1"/>
    <col min="9" max="9" width="14.69921875" customWidth="1"/>
    <col min="17" max="17" width="15.3984375" customWidth="1"/>
    <col min="18" max="18" width="16.19921875" customWidth="1"/>
    <col min="19" max="19" width="17.69921875" customWidth="1"/>
    <col min="20" max="20" width="14.8984375" customWidth="1"/>
    <col min="22" max="22" width="15.8984375" customWidth="1"/>
    <col min="23" max="23" width="17.796875" customWidth="1"/>
    <col min="42" max="42" width="19.3984375" customWidth="1"/>
    <col min="43" max="43" width="16.3984375" customWidth="1"/>
    <col min="44" max="44" width="20.796875" customWidth="1"/>
    <col min="45" max="45" width="16.5" customWidth="1"/>
    <col min="46" max="46" width="17.3984375" customWidth="1"/>
    <col min="47" max="47" width="16.8984375" customWidth="1"/>
    <col min="48" max="48" width="18.8984375" customWidth="1"/>
    <col min="49" max="49" width="15.5" customWidth="1"/>
  </cols>
  <sheetData>
    <row r="1" spans="1:50" ht="24.6" x14ac:dyDescent="0.4">
      <c r="A1" s="23"/>
      <c r="B1" s="24" t="s">
        <v>0</v>
      </c>
      <c r="C1" s="23"/>
      <c r="D1" s="23"/>
      <c r="E1" s="23"/>
      <c r="F1" s="23"/>
      <c r="G1" s="23"/>
      <c r="H1" s="25" t="s">
        <v>8</v>
      </c>
      <c r="I1" s="23"/>
      <c r="L1" cm="1">
        <f t="array" aca="1" ref="L1" ca="1">L1:M7</f>
        <v>0</v>
      </c>
      <c r="P1" s="1"/>
      <c r="Q1" s="3" t="s">
        <v>3</v>
      </c>
      <c r="R1" s="3"/>
      <c r="S1" s="3"/>
      <c r="T1" s="1"/>
      <c r="U1" s="1"/>
      <c r="V1" s="1"/>
      <c r="W1" s="1" t="s">
        <v>8</v>
      </c>
      <c r="AD1" s="1"/>
      <c r="AE1" s="2" t="s">
        <v>4</v>
      </c>
      <c r="AF1" s="1"/>
      <c r="AG1" s="1"/>
      <c r="AH1" s="1"/>
      <c r="AI1" s="1"/>
      <c r="AJ1" s="1"/>
      <c r="AK1" s="3" t="s">
        <v>8</v>
      </c>
      <c r="AO1" s="1" t="s">
        <v>19</v>
      </c>
      <c r="AP1" s="2" t="s">
        <v>18</v>
      </c>
      <c r="AQ1" s="1"/>
      <c r="AR1" s="1"/>
      <c r="AS1" s="1"/>
      <c r="AT1" s="1"/>
      <c r="AU1" s="1"/>
      <c r="AV1" s="3" t="s">
        <v>8</v>
      </c>
    </row>
    <row r="2" spans="1:50" s="34" customFormat="1" ht="24.6" x14ac:dyDescent="0.4">
      <c r="B2" s="39"/>
      <c r="H2" s="40"/>
      <c r="Q2" s="40"/>
      <c r="R2" s="40"/>
      <c r="S2" s="40"/>
      <c r="AE2" s="39"/>
      <c r="AK2" s="40"/>
      <c r="AO2" s="34" t="s">
        <v>108</v>
      </c>
      <c r="AP2" s="39"/>
      <c r="AR2" s="34" t="s">
        <v>152</v>
      </c>
      <c r="AS2" s="34" t="s">
        <v>138</v>
      </c>
      <c r="AV2" s="40" t="s">
        <v>168</v>
      </c>
    </row>
    <row r="3" spans="1:50" ht="24.6" x14ac:dyDescent="0.4">
      <c r="A3" s="23"/>
      <c r="B3" s="24"/>
      <c r="C3" s="23"/>
      <c r="D3" s="23"/>
      <c r="E3" s="23"/>
      <c r="F3" s="23"/>
      <c r="G3" s="23"/>
      <c r="H3" s="25"/>
      <c r="I3" s="23"/>
      <c r="P3" s="1"/>
      <c r="Q3" s="3"/>
      <c r="R3" s="3"/>
      <c r="S3" s="3"/>
      <c r="T3" s="1"/>
      <c r="U3" s="1"/>
      <c r="V3" s="1"/>
      <c r="W3" s="1"/>
      <c r="AD3" s="1"/>
      <c r="AE3" s="2"/>
      <c r="AF3" s="1"/>
      <c r="AG3" s="1"/>
      <c r="AH3" s="1"/>
      <c r="AI3" s="1"/>
      <c r="AJ3" s="1"/>
      <c r="AK3" s="3"/>
      <c r="AN3" s="41"/>
      <c r="AO3" s="41"/>
      <c r="AP3" s="42"/>
      <c r="AQ3" s="41"/>
      <c r="AR3" s="43">
        <v>0.75</v>
      </c>
      <c r="AS3" s="43">
        <v>0.1875</v>
      </c>
      <c r="AT3" s="41"/>
      <c r="AU3" s="43">
        <v>0.2638888888888889</v>
      </c>
      <c r="AV3" s="44">
        <v>0.2638888888888889</v>
      </c>
      <c r="AW3" s="43">
        <v>0.2638888888888889</v>
      </c>
      <c r="AX3" s="41"/>
    </row>
    <row r="4" spans="1:50" x14ac:dyDescent="0.25">
      <c r="A4" s="5"/>
      <c r="B4" s="5" t="s">
        <v>6</v>
      </c>
      <c r="C4" s="5" t="s">
        <v>1</v>
      </c>
      <c r="D4" s="5" t="s">
        <v>11</v>
      </c>
      <c r="E4" s="5" t="s">
        <v>13</v>
      </c>
      <c r="F4" s="5" t="s">
        <v>32</v>
      </c>
      <c r="G4" s="5" t="s">
        <v>5</v>
      </c>
      <c r="H4" s="5" t="s">
        <v>7</v>
      </c>
      <c r="I4" s="5" t="s">
        <v>26</v>
      </c>
      <c r="P4" s="5"/>
      <c r="Q4" s="5" t="s">
        <v>6</v>
      </c>
      <c r="R4" s="5" t="s">
        <v>30</v>
      </c>
      <c r="S4" s="5" t="s">
        <v>23</v>
      </c>
      <c r="T4" s="5" t="s">
        <v>13</v>
      </c>
      <c r="U4" s="5" t="s">
        <v>15</v>
      </c>
      <c r="V4" s="5" t="s">
        <v>5</v>
      </c>
      <c r="W4" s="5" t="s">
        <v>7</v>
      </c>
      <c r="Y4" s="6" t="s">
        <v>154</v>
      </c>
      <c r="AD4" s="4"/>
      <c r="AE4" s="5" t="s">
        <v>6</v>
      </c>
      <c r="AF4" s="5" t="s">
        <v>1</v>
      </c>
      <c r="AG4" s="5" t="s">
        <v>11</v>
      </c>
      <c r="AH4" s="5" t="s">
        <v>13</v>
      </c>
      <c r="AI4" s="5" t="s">
        <v>15</v>
      </c>
      <c r="AJ4" s="5" t="s">
        <v>5</v>
      </c>
      <c r="AK4" s="5" t="s">
        <v>7</v>
      </c>
      <c r="AL4" s="5" t="s">
        <v>28</v>
      </c>
      <c r="AO4" s="4"/>
      <c r="AP4" s="5" t="s">
        <v>6</v>
      </c>
      <c r="AQ4" s="5" t="s">
        <v>20</v>
      </c>
      <c r="AR4" s="5" t="s">
        <v>11</v>
      </c>
      <c r="AS4" s="5" t="s">
        <v>13</v>
      </c>
      <c r="AT4" s="5" t="s">
        <v>15</v>
      </c>
      <c r="AU4" s="5" t="s">
        <v>5</v>
      </c>
      <c r="AV4" s="5" t="s">
        <v>7</v>
      </c>
      <c r="AW4" s="5" t="s">
        <v>7</v>
      </c>
    </row>
    <row r="5" spans="1:50" x14ac:dyDescent="0.25">
      <c r="A5" s="6" t="s">
        <v>9</v>
      </c>
      <c r="B5" s="6" t="s">
        <v>25</v>
      </c>
      <c r="C5" s="6" t="s">
        <v>1</v>
      </c>
      <c r="D5" s="6" t="s">
        <v>12</v>
      </c>
      <c r="E5" s="6" t="s">
        <v>14</v>
      </c>
      <c r="F5" s="6" t="s">
        <v>33</v>
      </c>
      <c r="G5" s="6" t="s">
        <v>10</v>
      </c>
      <c r="H5" s="6" t="s">
        <v>10</v>
      </c>
      <c r="I5" s="6" t="s">
        <v>27</v>
      </c>
      <c r="P5" s="6" t="s">
        <v>9</v>
      </c>
      <c r="Q5" s="6" t="s">
        <v>17</v>
      </c>
      <c r="R5" s="6" t="s">
        <v>31</v>
      </c>
      <c r="S5" s="6" t="s">
        <v>21</v>
      </c>
      <c r="T5" s="6" t="s">
        <v>14</v>
      </c>
      <c r="U5" s="6" t="s">
        <v>2</v>
      </c>
      <c r="V5" s="6" t="s">
        <v>10</v>
      </c>
      <c r="W5" s="6" t="s">
        <v>155</v>
      </c>
      <c r="X5" s="6" t="s">
        <v>143</v>
      </c>
      <c r="AD5" s="4" t="s">
        <v>9</v>
      </c>
      <c r="AE5" s="6" t="s">
        <v>17</v>
      </c>
      <c r="AF5" s="6" t="s">
        <v>1</v>
      </c>
      <c r="AG5" s="6" t="s">
        <v>12</v>
      </c>
      <c r="AH5" s="6" t="s">
        <v>14</v>
      </c>
      <c r="AI5" s="6" t="s">
        <v>2</v>
      </c>
      <c r="AJ5" s="6" t="s">
        <v>10</v>
      </c>
      <c r="AK5" s="6" t="s">
        <v>10</v>
      </c>
      <c r="AL5" s="6" t="s">
        <v>29</v>
      </c>
      <c r="AO5" s="4" t="s">
        <v>9</v>
      </c>
      <c r="AP5" s="6" t="s">
        <v>17</v>
      </c>
      <c r="AQ5" s="6" t="s">
        <v>21</v>
      </c>
      <c r="AR5" s="6" t="s">
        <v>12</v>
      </c>
      <c r="AS5" s="6" t="s">
        <v>14</v>
      </c>
      <c r="AT5" s="6" t="s">
        <v>2</v>
      </c>
      <c r="AU5" s="6" t="s">
        <v>10</v>
      </c>
      <c r="AV5" s="6" t="s">
        <v>10</v>
      </c>
      <c r="AW5" s="6" t="s">
        <v>10</v>
      </c>
    </row>
    <row r="6" spans="1:50" x14ac:dyDescent="0.25">
      <c r="A6" s="7" t="s">
        <v>16</v>
      </c>
      <c r="B6" s="7">
        <v>6</v>
      </c>
      <c r="C6" s="7">
        <v>10</v>
      </c>
      <c r="D6" s="7"/>
      <c r="E6" s="7">
        <v>10</v>
      </c>
      <c r="F6" s="7">
        <v>20</v>
      </c>
      <c r="G6" s="7">
        <v>4</v>
      </c>
      <c r="H6" s="7">
        <v>8</v>
      </c>
      <c r="I6" s="7">
        <v>30</v>
      </c>
      <c r="J6" s="7">
        <v>88</v>
      </c>
      <c r="P6" s="7" t="s">
        <v>16</v>
      </c>
      <c r="Q6" s="7">
        <v>6</v>
      </c>
      <c r="R6" s="7">
        <v>8</v>
      </c>
      <c r="S6" s="7">
        <v>20</v>
      </c>
      <c r="T6" s="7">
        <v>10</v>
      </c>
      <c r="U6" s="7"/>
      <c r="V6" s="7">
        <v>4</v>
      </c>
      <c r="W6" s="7">
        <v>40</v>
      </c>
      <c r="X6" s="7" t="s">
        <v>144</v>
      </c>
      <c r="AA6" t="s">
        <v>162</v>
      </c>
      <c r="AD6" s="4" t="s">
        <v>16</v>
      </c>
      <c r="AE6" s="7">
        <v>6</v>
      </c>
      <c r="AF6" s="7"/>
      <c r="AG6" s="7">
        <v>30</v>
      </c>
      <c r="AH6" s="7">
        <v>10</v>
      </c>
      <c r="AI6" s="7"/>
      <c r="AJ6" s="7">
        <v>4</v>
      </c>
      <c r="AK6" s="7">
        <v>8</v>
      </c>
      <c r="AL6" s="7" t="s">
        <v>34</v>
      </c>
      <c r="AM6" s="7">
        <v>83</v>
      </c>
      <c r="AO6" s="4" t="s">
        <v>16</v>
      </c>
      <c r="AP6" s="7">
        <v>6</v>
      </c>
      <c r="AQ6" s="7" t="s">
        <v>22</v>
      </c>
      <c r="AR6" s="7"/>
      <c r="AS6" s="7">
        <v>10</v>
      </c>
      <c r="AT6" s="7"/>
      <c r="AU6" s="7">
        <v>4</v>
      </c>
      <c r="AV6" s="7">
        <v>40</v>
      </c>
      <c r="AW6" s="7">
        <v>64</v>
      </c>
    </row>
    <row r="7" spans="1:50" x14ac:dyDescent="0.25">
      <c r="A7" s="9" t="s">
        <v>107</v>
      </c>
      <c r="B7" s="9"/>
      <c r="C7" s="9"/>
      <c r="D7" s="9"/>
      <c r="E7" s="9"/>
      <c r="F7" s="9" t="s">
        <v>24</v>
      </c>
      <c r="G7" s="9"/>
      <c r="H7" s="9"/>
      <c r="P7" s="34" t="s">
        <v>108</v>
      </c>
      <c r="Q7" s="34"/>
      <c r="R7" s="34" t="s">
        <v>151</v>
      </c>
      <c r="S7" s="34" t="s">
        <v>149</v>
      </c>
      <c r="T7" s="34" t="s">
        <v>150</v>
      </c>
      <c r="U7" s="34"/>
      <c r="V7" s="34"/>
      <c r="W7" s="34" t="s">
        <v>161</v>
      </c>
      <c r="X7" s="34"/>
      <c r="AD7" s="23" t="s">
        <v>108</v>
      </c>
      <c r="AE7" s="23" t="s">
        <v>165</v>
      </c>
      <c r="AF7" s="23"/>
      <c r="AG7" s="23" t="s">
        <v>164</v>
      </c>
      <c r="AH7" s="23" t="s">
        <v>137</v>
      </c>
      <c r="AI7" s="23"/>
      <c r="AJ7" s="23"/>
      <c r="AK7" s="23"/>
      <c r="AL7" s="23" t="s">
        <v>166</v>
      </c>
      <c r="AM7" s="23"/>
      <c r="AO7" s="4"/>
      <c r="AP7" s="10" t="s">
        <v>36</v>
      </c>
      <c r="AS7" s="22" t="s">
        <v>49</v>
      </c>
      <c r="AU7" s="20" t="s">
        <v>72</v>
      </c>
    </row>
    <row r="8" spans="1:50" x14ac:dyDescent="0.25">
      <c r="A8" s="17" t="s">
        <v>108</v>
      </c>
      <c r="B8" s="16"/>
      <c r="C8" s="16" t="s">
        <v>138</v>
      </c>
      <c r="D8" s="16"/>
      <c r="E8" s="16" t="s">
        <v>137</v>
      </c>
      <c r="F8" s="16" t="s">
        <v>140</v>
      </c>
      <c r="G8" s="16"/>
      <c r="H8" s="16"/>
      <c r="I8" s="16" t="s">
        <v>139</v>
      </c>
      <c r="P8" s="34" t="s">
        <v>108</v>
      </c>
      <c r="Q8" s="34"/>
      <c r="R8" s="34"/>
      <c r="S8" s="34"/>
      <c r="T8" s="34"/>
      <c r="U8" s="34"/>
      <c r="V8" s="34"/>
      <c r="W8" s="34" t="s">
        <v>142</v>
      </c>
      <c r="X8" s="34"/>
      <c r="Y8" s="29">
        <v>0.2638888888888889</v>
      </c>
      <c r="AD8" s="23"/>
      <c r="AE8" s="23" t="s">
        <v>116</v>
      </c>
      <c r="AF8" s="23"/>
      <c r="AG8" s="23"/>
      <c r="AH8" s="23"/>
      <c r="AI8" s="23"/>
      <c r="AJ8" s="23"/>
      <c r="AK8" s="23"/>
      <c r="AL8" s="23" t="s">
        <v>167</v>
      </c>
      <c r="AM8" s="23"/>
      <c r="AO8" s="4"/>
      <c r="AP8" s="10" t="s">
        <v>37</v>
      </c>
      <c r="AS8" s="15" t="s">
        <v>50</v>
      </c>
      <c r="AU8" s="10" t="s">
        <v>73</v>
      </c>
    </row>
    <row r="9" spans="1:50" s="28" customFormat="1" x14ac:dyDescent="0.25">
      <c r="A9" s="27"/>
      <c r="P9" s="28" t="s">
        <v>113</v>
      </c>
      <c r="Q9" s="29">
        <v>0.2638888888888889</v>
      </c>
      <c r="R9" s="29">
        <v>0.22222222222222221</v>
      </c>
      <c r="S9" s="29">
        <v>0.1875</v>
      </c>
      <c r="T9" s="29">
        <v>0.1875</v>
      </c>
      <c r="V9" s="29">
        <v>0.2638888888888889</v>
      </c>
      <c r="W9" s="29">
        <v>0.2638888888888889</v>
      </c>
      <c r="Y9" s="28" t="s">
        <v>115</v>
      </c>
      <c r="AA9" s="28" t="s">
        <v>160</v>
      </c>
      <c r="AD9" s="37"/>
      <c r="AE9" s="38">
        <v>0.22222222222222221</v>
      </c>
      <c r="AF9" s="37"/>
      <c r="AG9" s="38">
        <v>0.79166666666666663</v>
      </c>
      <c r="AH9" s="37" t="s">
        <v>116</v>
      </c>
      <c r="AI9" s="37"/>
      <c r="AJ9" s="38">
        <v>0.22222222222222221</v>
      </c>
      <c r="AK9" s="38">
        <v>0.22222222222222221</v>
      </c>
      <c r="AL9" s="38">
        <v>0.22222222222222221</v>
      </c>
      <c r="AM9" s="37"/>
      <c r="AP9" s="12" t="s">
        <v>38</v>
      </c>
      <c r="AS9" s="14" t="s">
        <v>51</v>
      </c>
      <c r="AU9" s="10" t="s">
        <v>136</v>
      </c>
    </row>
    <row r="10" spans="1:50" x14ac:dyDescent="0.25">
      <c r="A10" s="17" t="s">
        <v>108</v>
      </c>
      <c r="B10" s="16"/>
      <c r="C10" s="16"/>
      <c r="D10" s="16"/>
      <c r="E10" s="16"/>
      <c r="F10" s="16" t="s">
        <v>141</v>
      </c>
      <c r="G10" s="16"/>
      <c r="H10" s="16"/>
      <c r="I10" s="16" t="s">
        <v>142</v>
      </c>
      <c r="P10" s="28" t="s">
        <v>153</v>
      </c>
      <c r="Q10" s="28" t="s">
        <v>115</v>
      </c>
      <c r="R10" s="28" t="s">
        <v>116</v>
      </c>
      <c r="S10" s="28" t="s">
        <v>115</v>
      </c>
      <c r="T10" s="28" t="s">
        <v>115</v>
      </c>
      <c r="U10" s="28"/>
      <c r="V10" s="28" t="s">
        <v>115</v>
      </c>
      <c r="W10" s="29" t="s">
        <v>115</v>
      </c>
      <c r="X10" s="28"/>
      <c r="Y10" s="22" t="s">
        <v>135</v>
      </c>
      <c r="AA10" s="36">
        <v>0.22222222222222221</v>
      </c>
      <c r="AD10" s="37"/>
      <c r="AE10" s="37" t="s">
        <v>160</v>
      </c>
      <c r="AF10" s="37"/>
      <c r="AG10" s="37"/>
      <c r="AH10" s="38">
        <v>0.1875</v>
      </c>
      <c r="AI10" s="37"/>
      <c r="AJ10" s="37" t="s">
        <v>160</v>
      </c>
      <c r="AK10" s="37" t="s">
        <v>160</v>
      </c>
      <c r="AL10" s="37" t="s">
        <v>160</v>
      </c>
      <c r="AM10" s="37"/>
      <c r="AO10" s="4"/>
      <c r="AP10" s="10" t="s">
        <v>74</v>
      </c>
      <c r="AR10" s="13" t="s">
        <v>62</v>
      </c>
      <c r="AS10" s="14" t="s">
        <v>52</v>
      </c>
      <c r="AU10" s="12" t="s">
        <v>129</v>
      </c>
    </row>
    <row r="11" spans="1:50" x14ac:dyDescent="0.25">
      <c r="A11" s="27" t="s">
        <v>113</v>
      </c>
      <c r="B11" s="29">
        <v>0.2638888888888889</v>
      </c>
      <c r="C11" s="29">
        <v>0.2638888888888889</v>
      </c>
      <c r="D11" s="28"/>
      <c r="E11" s="29">
        <v>0.1875</v>
      </c>
      <c r="F11" s="29">
        <v>0.22222222222222221</v>
      </c>
      <c r="G11" s="29">
        <v>0.2638888888888889</v>
      </c>
      <c r="H11" s="29">
        <v>0.2638888888888889</v>
      </c>
      <c r="I11" s="29">
        <v>0.2638888888888889</v>
      </c>
      <c r="P11" s="8"/>
      <c r="Q11" s="20" t="s">
        <v>35</v>
      </c>
      <c r="R11" s="22" t="s">
        <v>64</v>
      </c>
      <c r="S11" s="21" t="s">
        <v>40</v>
      </c>
      <c r="T11" s="22" t="s">
        <v>49</v>
      </c>
      <c r="V11" s="20" t="s">
        <v>72</v>
      </c>
      <c r="W11" s="33" t="s">
        <v>75</v>
      </c>
      <c r="X11" t="s">
        <v>145</v>
      </c>
      <c r="Y11" s="14" t="s">
        <v>92</v>
      </c>
      <c r="AA11" s="20" t="s">
        <v>96</v>
      </c>
      <c r="AD11" s="4"/>
      <c r="AE11" s="20" t="s">
        <v>35</v>
      </c>
      <c r="AG11" t="s">
        <v>163</v>
      </c>
      <c r="AH11" s="22" t="s">
        <v>135</v>
      </c>
      <c r="AJ11" s="20" t="s">
        <v>72</v>
      </c>
      <c r="AK11" s="33" t="s">
        <v>75</v>
      </c>
      <c r="AL11" s="20" t="s">
        <v>82</v>
      </c>
      <c r="AO11" s="4"/>
      <c r="AP11" s="12" t="s">
        <v>134</v>
      </c>
      <c r="AQ11" s="21" t="s">
        <v>40</v>
      </c>
      <c r="AR11" s="13" t="s">
        <v>63</v>
      </c>
      <c r="AS11" s="11" t="s">
        <v>100</v>
      </c>
      <c r="AV11" s="22" t="s">
        <v>57</v>
      </c>
    </row>
    <row r="12" spans="1:50" x14ac:dyDescent="0.25">
      <c r="A12" s="27" t="s">
        <v>114</v>
      </c>
      <c r="B12" s="29"/>
      <c r="C12" s="29" t="s">
        <v>115</v>
      </c>
      <c r="D12" s="28"/>
      <c r="E12" s="29" t="s">
        <v>116</v>
      </c>
      <c r="F12" s="29" t="s">
        <v>115</v>
      </c>
      <c r="G12" s="29" t="s">
        <v>115</v>
      </c>
      <c r="H12" s="29" t="s">
        <v>115</v>
      </c>
      <c r="I12" s="29" t="s">
        <v>115</v>
      </c>
      <c r="P12" s="8"/>
      <c r="Q12" s="10" t="s">
        <v>36</v>
      </c>
      <c r="R12" s="15" t="s">
        <v>65</v>
      </c>
      <c r="S12" s="15" t="s">
        <v>41</v>
      </c>
      <c r="T12" s="15" t="s">
        <v>50</v>
      </c>
      <c r="V12" s="10" t="s">
        <v>73</v>
      </c>
      <c r="W12" s="10" t="s">
        <v>76</v>
      </c>
      <c r="X12" t="s">
        <v>146</v>
      </c>
      <c r="Y12" s="14" t="s">
        <v>93</v>
      </c>
      <c r="AA12" s="26" t="s">
        <v>97</v>
      </c>
      <c r="AD12" s="4"/>
      <c r="AE12" s="10" t="s">
        <v>36</v>
      </c>
      <c r="AG12" s="14" t="s">
        <v>51</v>
      </c>
      <c r="AH12" s="15" t="s">
        <v>50</v>
      </c>
      <c r="AJ12" s="10" t="s">
        <v>73</v>
      </c>
      <c r="AK12" s="10" t="s">
        <v>76</v>
      </c>
      <c r="AL12" s="15" t="s">
        <v>83</v>
      </c>
      <c r="AO12" s="4"/>
      <c r="AQ12" s="15" t="s">
        <v>41</v>
      </c>
      <c r="AR12" s="13" t="s">
        <v>69</v>
      </c>
      <c r="AS12" s="14" t="s">
        <v>43</v>
      </c>
      <c r="AV12" s="15" t="s">
        <v>58</v>
      </c>
      <c r="AW12" s="15"/>
    </row>
    <row r="13" spans="1:50" x14ac:dyDescent="0.25">
      <c r="A13" s="4"/>
      <c r="B13" s="20" t="s">
        <v>35</v>
      </c>
      <c r="C13" s="21" t="s">
        <v>40</v>
      </c>
      <c r="E13" s="30" t="s">
        <v>119</v>
      </c>
      <c r="F13" s="30" t="s">
        <v>120</v>
      </c>
      <c r="G13" s="20" t="s">
        <v>72</v>
      </c>
      <c r="H13" t="s">
        <v>75</v>
      </c>
      <c r="I13" s="20" t="s">
        <v>82</v>
      </c>
      <c r="P13" s="8"/>
      <c r="Q13" s="10" t="s">
        <v>37</v>
      </c>
      <c r="S13" s="19" t="s">
        <v>42</v>
      </c>
      <c r="T13" s="14" t="s">
        <v>51</v>
      </c>
      <c r="V13" s="10" t="s">
        <v>136</v>
      </c>
      <c r="W13" s="14" t="s">
        <v>77</v>
      </c>
      <c r="X13" t="s">
        <v>147</v>
      </c>
      <c r="Y13" s="14" t="s">
        <v>87</v>
      </c>
      <c r="AA13" s="10" t="s">
        <v>98</v>
      </c>
      <c r="AD13" s="4"/>
      <c r="AE13" s="10" t="s">
        <v>37</v>
      </c>
      <c r="AG13" s="14" t="s">
        <v>52</v>
      </c>
      <c r="AH13" s="13" t="s">
        <v>53</v>
      </c>
      <c r="AJ13" s="10" t="s">
        <v>136</v>
      </c>
      <c r="AK13" s="13" t="s">
        <v>80</v>
      </c>
      <c r="AL13" s="10" t="s">
        <v>84</v>
      </c>
      <c r="AO13" s="4"/>
      <c r="AQ13" s="10" t="s">
        <v>104</v>
      </c>
      <c r="AR13" s="13" t="s">
        <v>70</v>
      </c>
      <c r="AS13" s="14" t="s">
        <v>67</v>
      </c>
      <c r="AV13" s="14" t="s">
        <v>59</v>
      </c>
      <c r="AW13" s="19" t="s">
        <v>42</v>
      </c>
    </row>
    <row r="14" spans="1:50" x14ac:dyDescent="0.25">
      <c r="A14" s="4"/>
      <c r="B14" s="10" t="s">
        <v>36</v>
      </c>
      <c r="C14" s="15" t="s">
        <v>41</v>
      </c>
      <c r="E14" s="22" t="s">
        <v>49</v>
      </c>
      <c r="F14" s="22" t="s">
        <v>57</v>
      </c>
      <c r="G14" s="10" t="s">
        <v>73</v>
      </c>
      <c r="H14" s="10" t="s">
        <v>76</v>
      </c>
      <c r="I14" s="15" t="s">
        <v>83</v>
      </c>
      <c r="P14" s="8"/>
      <c r="Q14" s="12" t="s">
        <v>38</v>
      </c>
      <c r="R14" s="14" t="s">
        <v>67</v>
      </c>
      <c r="S14" s="11"/>
      <c r="T14" s="14" t="s">
        <v>52</v>
      </c>
      <c r="V14" s="12" t="s">
        <v>129</v>
      </c>
      <c r="W14" s="14" t="s">
        <v>78</v>
      </c>
      <c r="X14" t="s">
        <v>148</v>
      </c>
      <c r="Y14" s="13" t="s">
        <v>110</v>
      </c>
      <c r="AA14" s="13" t="s">
        <v>111</v>
      </c>
      <c r="AD14" s="4"/>
      <c r="AE14" s="10" t="s">
        <v>74</v>
      </c>
      <c r="AG14" s="12" t="s">
        <v>131</v>
      </c>
      <c r="AH14" s="13" t="s">
        <v>54</v>
      </c>
      <c r="AL14" s="13" t="s">
        <v>69</v>
      </c>
      <c r="AO14" s="4"/>
      <c r="AQ14" s="15" t="s">
        <v>91</v>
      </c>
      <c r="AR14" s="13" t="s">
        <v>71</v>
      </c>
      <c r="AS14" s="12" t="s">
        <v>131</v>
      </c>
      <c r="AV14" s="14" t="s">
        <v>60</v>
      </c>
      <c r="AW14" s="14" t="s">
        <v>43</v>
      </c>
    </row>
    <row r="15" spans="1:50" x14ac:dyDescent="0.25">
      <c r="A15" s="4"/>
      <c r="B15" s="10" t="s">
        <v>37</v>
      </c>
      <c r="C15" s="19" t="s">
        <v>42</v>
      </c>
      <c r="E15" s="15" t="s">
        <v>50</v>
      </c>
      <c r="F15" s="15" t="s">
        <v>58</v>
      </c>
      <c r="G15" s="10" t="s">
        <v>136</v>
      </c>
      <c r="H15" s="14" t="s">
        <v>77</v>
      </c>
      <c r="I15" s="10" t="s">
        <v>84</v>
      </c>
      <c r="P15" s="8"/>
      <c r="Q15" s="10" t="s">
        <v>74</v>
      </c>
      <c r="R15" s="14" t="s">
        <v>68</v>
      </c>
      <c r="S15" s="14" t="s">
        <v>43</v>
      </c>
      <c r="T15" s="13" t="s">
        <v>53</v>
      </c>
      <c r="V15" s="20" t="s">
        <v>103</v>
      </c>
      <c r="W15" s="11" t="s">
        <v>79</v>
      </c>
      <c r="X15" s="12" t="s">
        <v>130</v>
      </c>
      <c r="Y15" s="14" t="s">
        <v>158</v>
      </c>
      <c r="AA15" s="13" t="s">
        <v>112</v>
      </c>
      <c r="AD15" s="4"/>
      <c r="AE15" s="10" t="s">
        <v>106</v>
      </c>
      <c r="AG15" s="12" t="s">
        <v>132</v>
      </c>
      <c r="AH15" s="13" t="s">
        <v>55</v>
      </c>
      <c r="AK15" s="13" t="s">
        <v>56</v>
      </c>
      <c r="AL15" s="13" t="s">
        <v>70</v>
      </c>
      <c r="AO15" s="4"/>
      <c r="AR15" s="13" t="s">
        <v>47</v>
      </c>
      <c r="AV15" s="14" t="s">
        <v>61</v>
      </c>
    </row>
    <row r="16" spans="1:50" x14ac:dyDescent="0.25">
      <c r="A16" s="4"/>
      <c r="B16" s="12" t="s">
        <v>38</v>
      </c>
      <c r="C16" s="11" t="s">
        <v>100</v>
      </c>
      <c r="E16" s="14" t="s">
        <v>51</v>
      </c>
      <c r="F16" s="14" t="s">
        <v>59</v>
      </c>
      <c r="G16" s="12" t="s">
        <v>129</v>
      </c>
      <c r="H16" s="14" t="s">
        <v>78</v>
      </c>
      <c r="I16" s="14" t="s">
        <v>85</v>
      </c>
      <c r="P16" s="8"/>
      <c r="Q16" s="12" t="s">
        <v>134</v>
      </c>
      <c r="R16" s="13" t="s">
        <v>69</v>
      </c>
      <c r="S16" s="13" t="s">
        <v>44</v>
      </c>
      <c r="T16" s="13" t="s">
        <v>54</v>
      </c>
      <c r="V16" s="10" t="s">
        <v>104</v>
      </c>
      <c r="W16" s="13" t="s">
        <v>80</v>
      </c>
      <c r="AA16" s="13" t="s">
        <v>102</v>
      </c>
      <c r="AD16" s="4"/>
      <c r="AG16" s="12" t="s">
        <v>133</v>
      </c>
      <c r="AH16" s="13" t="s">
        <v>81</v>
      </c>
      <c r="AK16" s="13" t="s">
        <v>48</v>
      </c>
      <c r="AL16" s="13" t="s">
        <v>71</v>
      </c>
      <c r="AO16" s="4"/>
      <c r="AR16" s="13" t="s">
        <v>53</v>
      </c>
      <c r="AV16" s="14" t="s">
        <v>66</v>
      </c>
      <c r="AW16" s="22" t="s">
        <v>135</v>
      </c>
    </row>
    <row r="17" spans="1:49" x14ac:dyDescent="0.25">
      <c r="A17" s="4"/>
      <c r="B17" s="10" t="s">
        <v>74</v>
      </c>
      <c r="C17" s="14" t="s">
        <v>43</v>
      </c>
      <c r="E17" s="14" t="s">
        <v>52</v>
      </c>
      <c r="F17" s="14" t="s">
        <v>60</v>
      </c>
      <c r="H17" s="11" t="s">
        <v>79</v>
      </c>
      <c r="I17" s="14" t="s">
        <v>86</v>
      </c>
      <c r="P17" s="8"/>
      <c r="R17" s="13" t="s">
        <v>70</v>
      </c>
      <c r="S17" s="13" t="s">
        <v>45</v>
      </c>
      <c r="T17" s="13" t="s">
        <v>55</v>
      </c>
      <c r="V17" s="10" t="s">
        <v>105</v>
      </c>
      <c r="W17" s="14" t="s">
        <v>68</v>
      </c>
      <c r="AA17" s="12" t="s">
        <v>128</v>
      </c>
      <c r="AD17" s="4"/>
      <c r="AG17" s="12" t="s">
        <v>129</v>
      </c>
      <c r="AH17" s="20" t="s">
        <v>103</v>
      </c>
      <c r="AK17" s="18" t="s">
        <v>101</v>
      </c>
      <c r="AL17" s="13" t="s">
        <v>47</v>
      </c>
      <c r="AO17" s="4"/>
      <c r="AR17" s="13" t="s">
        <v>54</v>
      </c>
    </row>
    <row r="18" spans="1:49" x14ac:dyDescent="0.25">
      <c r="A18" s="4"/>
      <c r="B18" s="12" t="s">
        <v>134</v>
      </c>
      <c r="C18" s="13" t="s">
        <v>44</v>
      </c>
      <c r="E18" s="13" t="s">
        <v>53</v>
      </c>
      <c r="F18" s="14" t="s">
        <v>61</v>
      </c>
      <c r="H18" s="13" t="s">
        <v>80</v>
      </c>
      <c r="I18" s="14" t="s">
        <v>94</v>
      </c>
      <c r="P18" s="8"/>
      <c r="R18" s="13" t="s">
        <v>71</v>
      </c>
      <c r="S18" s="13" t="s">
        <v>46</v>
      </c>
      <c r="T18" s="12" t="s">
        <v>131</v>
      </c>
      <c r="V18" s="10" t="s">
        <v>106</v>
      </c>
      <c r="W18" s="13" t="s">
        <v>56</v>
      </c>
      <c r="AA18" s="11" t="s">
        <v>39</v>
      </c>
      <c r="AD18" s="4"/>
      <c r="AG18" s="14" t="s">
        <v>77</v>
      </c>
      <c r="AH18" s="10" t="s">
        <v>105</v>
      </c>
      <c r="AL18" s="13" t="s">
        <v>89</v>
      </c>
      <c r="AO18" s="4"/>
      <c r="AR18" s="13" t="s">
        <v>55</v>
      </c>
      <c r="AV18" s="31" t="s">
        <v>124</v>
      </c>
      <c r="AW18" s="14" t="s">
        <v>92</v>
      </c>
    </row>
    <row r="19" spans="1:49" x14ac:dyDescent="0.25">
      <c r="A19" s="4"/>
      <c r="C19" s="13" t="s">
        <v>45</v>
      </c>
      <c r="E19" s="13" t="s">
        <v>54</v>
      </c>
      <c r="F19" s="13" t="s">
        <v>62</v>
      </c>
      <c r="H19" s="14" t="s">
        <v>68</v>
      </c>
      <c r="I19" s="13" t="s">
        <v>88</v>
      </c>
      <c r="P19" s="8"/>
      <c r="R19" s="13" t="s">
        <v>47</v>
      </c>
      <c r="S19" s="22" t="s">
        <v>57</v>
      </c>
      <c r="T19" s="12" t="s">
        <v>132</v>
      </c>
      <c r="V19" s="13" t="s">
        <v>48</v>
      </c>
      <c r="W19" s="20" t="s">
        <v>82</v>
      </c>
      <c r="AD19" s="4"/>
      <c r="AG19" s="14" t="s">
        <v>78</v>
      </c>
      <c r="AL19" s="13" t="s">
        <v>48</v>
      </c>
      <c r="AO19" s="4"/>
      <c r="AR19" s="13" t="s">
        <v>47</v>
      </c>
      <c r="AV19" s="22" t="s">
        <v>64</v>
      </c>
      <c r="AW19" s="14" t="s">
        <v>93</v>
      </c>
    </row>
    <row r="20" spans="1:49" x14ac:dyDescent="0.25">
      <c r="A20" s="4"/>
      <c r="C20" s="13" t="s">
        <v>46</v>
      </c>
      <c r="E20" s="13" t="s">
        <v>55</v>
      </c>
      <c r="F20" s="13" t="s">
        <v>63</v>
      </c>
      <c r="H20" s="13" t="s">
        <v>56</v>
      </c>
      <c r="I20" s="13" t="s">
        <v>89</v>
      </c>
      <c r="P20" s="8"/>
      <c r="S20" s="15" t="s">
        <v>58</v>
      </c>
      <c r="T20" s="12" t="s">
        <v>133</v>
      </c>
      <c r="V20" s="18" t="s">
        <v>101</v>
      </c>
      <c r="W20" s="15" t="s">
        <v>83</v>
      </c>
      <c r="AD20" s="4"/>
      <c r="AG20" s="11" t="s">
        <v>79</v>
      </c>
      <c r="AL20" s="13" t="s">
        <v>95</v>
      </c>
      <c r="AO20" s="4"/>
      <c r="AR20" s="13" t="s">
        <v>69</v>
      </c>
      <c r="AV20" s="15" t="s">
        <v>65</v>
      </c>
      <c r="AW20" s="14" t="s">
        <v>87</v>
      </c>
    </row>
    <row r="21" spans="1:49" x14ac:dyDescent="0.25">
      <c r="A21" s="4"/>
      <c r="E21" s="12" t="s">
        <v>131</v>
      </c>
      <c r="I21" s="22" t="s">
        <v>135</v>
      </c>
      <c r="P21" s="8"/>
      <c r="S21" s="14" t="s">
        <v>59</v>
      </c>
      <c r="T21" s="13" t="s">
        <v>81</v>
      </c>
      <c r="W21" s="10" t="s">
        <v>84</v>
      </c>
      <c r="AD21" s="4"/>
      <c r="AG21" s="14" t="s">
        <v>85</v>
      </c>
      <c r="AL21" s="21" t="s">
        <v>40</v>
      </c>
      <c r="AO21" s="4"/>
      <c r="AR21" s="13" t="s">
        <v>70</v>
      </c>
      <c r="AV21" s="32" t="s">
        <v>90</v>
      </c>
    </row>
    <row r="22" spans="1:49" x14ac:dyDescent="0.25">
      <c r="A22" s="4"/>
      <c r="E22" s="12" t="s">
        <v>132</v>
      </c>
      <c r="F22" s="14" t="s">
        <v>66</v>
      </c>
      <c r="I22" s="15" t="s">
        <v>91</v>
      </c>
      <c r="P22" s="8"/>
      <c r="S22" s="14" t="s">
        <v>60</v>
      </c>
      <c r="W22" s="14" t="s">
        <v>85</v>
      </c>
      <c r="AD22" s="4"/>
      <c r="AG22" s="14" t="s">
        <v>86</v>
      </c>
      <c r="AL22" s="15" t="s">
        <v>41</v>
      </c>
      <c r="AO22" s="4"/>
      <c r="AR22" s="13" t="s">
        <v>71</v>
      </c>
      <c r="AV22" s="15" t="s">
        <v>83</v>
      </c>
    </row>
    <row r="23" spans="1:49" x14ac:dyDescent="0.25">
      <c r="A23" s="4"/>
      <c r="E23" s="12" t="s">
        <v>133</v>
      </c>
      <c r="F23" s="31" t="s">
        <v>124</v>
      </c>
      <c r="I23" s="14" t="s">
        <v>92</v>
      </c>
      <c r="P23" s="8"/>
      <c r="S23" s="14" t="s">
        <v>61</v>
      </c>
      <c r="W23" s="14" t="s">
        <v>86</v>
      </c>
      <c r="AD23" s="4"/>
      <c r="AG23" s="14" t="s">
        <v>94</v>
      </c>
      <c r="AL23" s="11"/>
      <c r="AO23" s="4"/>
      <c r="AR23" s="13" t="s">
        <v>70</v>
      </c>
      <c r="AV23" s="10" t="s">
        <v>84</v>
      </c>
    </row>
    <row r="24" spans="1:49" x14ac:dyDescent="0.25">
      <c r="A24" s="4"/>
      <c r="E24" s="13" t="s">
        <v>81</v>
      </c>
      <c r="F24" s="22" t="s">
        <v>64</v>
      </c>
      <c r="I24" s="14" t="s">
        <v>93</v>
      </c>
      <c r="P24" s="8"/>
      <c r="S24" s="13" t="s">
        <v>62</v>
      </c>
      <c r="W24" s="14" t="s">
        <v>94</v>
      </c>
      <c r="AD24" s="4"/>
      <c r="AG24" s="14" t="s">
        <v>43</v>
      </c>
      <c r="AL24" s="13" t="s">
        <v>44</v>
      </c>
      <c r="AO24" s="4"/>
      <c r="AR24" s="13" t="s">
        <v>71</v>
      </c>
      <c r="AV24" s="14" t="s">
        <v>85</v>
      </c>
      <c r="AW24" s="22" t="s">
        <v>75</v>
      </c>
    </row>
    <row r="25" spans="1:49" x14ac:dyDescent="0.25">
      <c r="A25" s="4"/>
      <c r="F25" s="15" t="s">
        <v>65</v>
      </c>
      <c r="I25" s="14" t="s">
        <v>87</v>
      </c>
      <c r="S25" s="13" t="s">
        <v>63</v>
      </c>
      <c r="W25" s="13" t="s">
        <v>88</v>
      </c>
      <c r="AD25" s="4"/>
      <c r="AG25" s="14" t="s">
        <v>66</v>
      </c>
      <c r="AL25" s="13" t="s">
        <v>45</v>
      </c>
      <c r="AO25" s="4"/>
      <c r="AR25" s="13" t="s">
        <v>47</v>
      </c>
      <c r="AV25" s="14" t="s">
        <v>86</v>
      </c>
      <c r="AW25" s="10" t="s">
        <v>76</v>
      </c>
    </row>
    <row r="26" spans="1:49" x14ac:dyDescent="0.25">
      <c r="A26" s="4"/>
      <c r="I26" s="13" t="s">
        <v>48</v>
      </c>
      <c r="S26" s="35" t="s">
        <v>159</v>
      </c>
      <c r="W26" s="13" t="s">
        <v>89</v>
      </c>
      <c r="AD26" s="4"/>
      <c r="AG26" s="14" t="s">
        <v>59</v>
      </c>
      <c r="AL26" s="13" t="s">
        <v>46</v>
      </c>
      <c r="AO26" s="4"/>
      <c r="AR26" s="13" t="s">
        <v>89</v>
      </c>
      <c r="AV26" s="14" t="s">
        <v>94</v>
      </c>
      <c r="AW26" s="14" t="s">
        <v>77</v>
      </c>
    </row>
    <row r="27" spans="1:49" x14ac:dyDescent="0.25">
      <c r="A27" s="4"/>
      <c r="F27" s="14" t="s">
        <v>67</v>
      </c>
      <c r="I27" s="13" t="s">
        <v>95</v>
      </c>
      <c r="S27" s="14" t="s">
        <v>66</v>
      </c>
      <c r="W27" s="13" t="s">
        <v>48</v>
      </c>
      <c r="AD27" s="4"/>
      <c r="AG27" s="14" t="s">
        <v>60</v>
      </c>
      <c r="AL27" s="22" t="s">
        <v>57</v>
      </c>
      <c r="AO27" s="4"/>
      <c r="AR27" s="13" t="s">
        <v>88</v>
      </c>
      <c r="AV27" s="20" t="s">
        <v>103</v>
      </c>
      <c r="AW27" s="14" t="s">
        <v>78</v>
      </c>
    </row>
    <row r="28" spans="1:49" x14ac:dyDescent="0.25">
      <c r="A28" s="4"/>
      <c r="F28" s="14" t="s">
        <v>68</v>
      </c>
      <c r="I28" s="13" t="s">
        <v>110</v>
      </c>
      <c r="W28" s="13" t="s">
        <v>95</v>
      </c>
      <c r="AD28" s="4"/>
      <c r="AG28" s="14" t="s">
        <v>61</v>
      </c>
      <c r="AL28" s="15" t="s">
        <v>58</v>
      </c>
      <c r="AO28" s="4"/>
      <c r="AR28" s="13" t="s">
        <v>44</v>
      </c>
      <c r="AW28" s="11" t="s">
        <v>79</v>
      </c>
    </row>
    <row r="29" spans="1:49" x14ac:dyDescent="0.25">
      <c r="A29" s="4"/>
      <c r="F29" s="13" t="s">
        <v>69</v>
      </c>
      <c r="I29" s="30" t="s">
        <v>126</v>
      </c>
      <c r="AD29" s="4"/>
      <c r="AG29" s="14" t="s">
        <v>66</v>
      </c>
      <c r="AO29" s="4"/>
      <c r="AR29" s="13" t="s">
        <v>45</v>
      </c>
      <c r="AV29" s="10" t="s">
        <v>105</v>
      </c>
    </row>
    <row r="30" spans="1:49" x14ac:dyDescent="0.25">
      <c r="A30" s="4"/>
      <c r="F30" s="13" t="s">
        <v>70</v>
      </c>
      <c r="I30" s="20" t="s">
        <v>96</v>
      </c>
      <c r="W30" s="30" t="s">
        <v>126</v>
      </c>
      <c r="AD30" s="4"/>
      <c r="AG30" s="12" t="s">
        <v>128</v>
      </c>
      <c r="AL30" s="13" t="s">
        <v>110</v>
      </c>
      <c r="AO30" s="4"/>
      <c r="AR30" s="13" t="s">
        <v>46</v>
      </c>
      <c r="AV30" s="10" t="s">
        <v>106</v>
      </c>
      <c r="AW30" s="14" t="s">
        <v>68</v>
      </c>
    </row>
    <row r="31" spans="1:49" x14ac:dyDescent="0.25">
      <c r="A31" s="4"/>
      <c r="F31" s="13" t="s">
        <v>71</v>
      </c>
      <c r="I31" s="26" t="s">
        <v>97</v>
      </c>
      <c r="AD31" s="4"/>
      <c r="AG31" s="11" t="s">
        <v>39</v>
      </c>
      <c r="AO31" s="4"/>
      <c r="AR31" s="13" t="s">
        <v>48</v>
      </c>
      <c r="AV31" s="12" t="s">
        <v>128</v>
      </c>
    </row>
    <row r="32" spans="1:49" x14ac:dyDescent="0.25">
      <c r="A32" s="4"/>
      <c r="F32" s="13" t="s">
        <v>47</v>
      </c>
      <c r="I32" s="10" t="s">
        <v>98</v>
      </c>
      <c r="AD32" s="4"/>
      <c r="AG32" s="12" t="s">
        <v>128</v>
      </c>
      <c r="AL32" s="13" t="s">
        <v>62</v>
      </c>
      <c r="AO32" s="4"/>
      <c r="AR32" s="13" t="s">
        <v>95</v>
      </c>
      <c r="AV32" s="11" t="s">
        <v>39</v>
      </c>
    </row>
    <row r="33" spans="1:49" x14ac:dyDescent="0.25">
      <c r="A33" s="4"/>
      <c r="I33" s="10" t="s">
        <v>99</v>
      </c>
      <c r="AD33" s="4"/>
      <c r="AG33" s="14" t="s">
        <v>68</v>
      </c>
      <c r="AL33" s="13" t="s">
        <v>63</v>
      </c>
      <c r="AO33" s="4"/>
      <c r="AR33" s="13" t="s">
        <v>110</v>
      </c>
      <c r="AV33" s="12" t="s">
        <v>130</v>
      </c>
      <c r="AW33" s="26" t="s">
        <v>97</v>
      </c>
    </row>
    <row r="34" spans="1:49" x14ac:dyDescent="0.25">
      <c r="A34" s="4"/>
      <c r="I34" s="13" t="s">
        <v>111</v>
      </c>
      <c r="AD34" s="4"/>
      <c r="AL34" s="20" t="s">
        <v>96</v>
      </c>
      <c r="AR34" s="13" t="s">
        <v>89</v>
      </c>
      <c r="AV34" s="12" t="s">
        <v>132</v>
      </c>
      <c r="AW34" s="10" t="s">
        <v>98</v>
      </c>
    </row>
    <row r="35" spans="1:49" x14ac:dyDescent="0.25">
      <c r="I35" s="13" t="s">
        <v>112</v>
      </c>
      <c r="AL35" s="26" t="s">
        <v>97</v>
      </c>
      <c r="AR35" s="13" t="s">
        <v>88</v>
      </c>
      <c r="AV35" s="12" t="s">
        <v>133</v>
      </c>
      <c r="AW35" s="10" t="s">
        <v>99</v>
      </c>
    </row>
    <row r="36" spans="1:49" x14ac:dyDescent="0.25">
      <c r="I36" s="13" t="s">
        <v>102</v>
      </c>
      <c r="AL36" s="10" t="s">
        <v>98</v>
      </c>
      <c r="AR36" s="13" t="s">
        <v>110</v>
      </c>
    </row>
    <row r="37" spans="1:49" x14ac:dyDescent="0.25">
      <c r="I37" s="20" t="s">
        <v>103</v>
      </c>
      <c r="AL37" s="13" t="s">
        <v>111</v>
      </c>
      <c r="AR37" s="18" t="s">
        <v>101</v>
      </c>
    </row>
    <row r="38" spans="1:49" x14ac:dyDescent="0.25">
      <c r="I38" s="10" t="s">
        <v>104</v>
      </c>
      <c r="AL38" s="13" t="s">
        <v>112</v>
      </c>
      <c r="AR38" s="13" t="s">
        <v>80</v>
      </c>
    </row>
    <row r="39" spans="1:49" x14ac:dyDescent="0.25">
      <c r="I39" s="10" t="s">
        <v>105</v>
      </c>
      <c r="AL39" s="13" t="s">
        <v>102</v>
      </c>
      <c r="AR39" s="13" t="s">
        <v>111</v>
      </c>
    </row>
    <row r="40" spans="1:49" x14ac:dyDescent="0.25">
      <c r="I40" s="10" t="s">
        <v>106</v>
      </c>
      <c r="AL40" s="22" t="s">
        <v>64</v>
      </c>
      <c r="AR40" s="13" t="s">
        <v>112</v>
      </c>
    </row>
    <row r="41" spans="1:49" x14ac:dyDescent="0.25">
      <c r="I41" s="13" t="s">
        <v>110</v>
      </c>
      <c r="AL41" s="15" t="s">
        <v>65</v>
      </c>
      <c r="AR41" s="13" t="s">
        <v>102</v>
      </c>
    </row>
    <row r="42" spans="1:49" x14ac:dyDescent="0.25">
      <c r="I42" s="18" t="s">
        <v>101</v>
      </c>
      <c r="J42" t="s">
        <v>109</v>
      </c>
      <c r="AR42" s="13" t="s">
        <v>81</v>
      </c>
    </row>
    <row r="43" spans="1:49" x14ac:dyDescent="0.25">
      <c r="I43" s="12" t="s">
        <v>128</v>
      </c>
      <c r="AR43" s="13" t="s">
        <v>56</v>
      </c>
    </row>
    <row r="44" spans="1:49" x14ac:dyDescent="0.25">
      <c r="I44" s="11" t="s">
        <v>39</v>
      </c>
      <c r="AR44" s="20" t="s">
        <v>82</v>
      </c>
    </row>
    <row r="45" spans="1:49" x14ac:dyDescent="0.25">
      <c r="I45" s="12" t="s">
        <v>130</v>
      </c>
      <c r="AR45" s="20" t="s">
        <v>96</v>
      </c>
    </row>
    <row r="47" spans="1:49" x14ac:dyDescent="0.25">
      <c r="I47" s="12"/>
    </row>
    <row r="48" spans="1:49" x14ac:dyDescent="0.25">
      <c r="I48" s="13"/>
    </row>
  </sheetData>
  <pageMargins left="0.7" right="0.7" top="0.75" bottom="0.75" header="0.3" footer="0.3"/>
  <pageSetup paperSize="9" orientation="portrait" r:id="rId1"/>
  <rowBreaks count="3" manualBreakCount="3">
    <brk id="3" max="16383" man="1"/>
    <brk id="12" max="16383" man="1"/>
    <brk id="22" max="16383" man="1"/>
  </rowBreaks>
  <colBreaks count="8" manualBreakCount="8">
    <brk id="1" max="1048575" man="1"/>
    <brk id="2" max="1048575" man="1"/>
    <brk id="3" max="1048575" man="1"/>
    <brk id="4" max="1048575" man="1"/>
    <brk id="5" max="1048575" man="1"/>
    <brk id="6" max="1048575" man="1"/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35B0-D232-496C-861A-5817B12DDBC4}">
  <dimension ref="A1:I31"/>
  <sheetViews>
    <sheetView workbookViewId="0">
      <selection activeCell="B13" sqref="B13:B20"/>
    </sheetView>
  </sheetViews>
  <sheetFormatPr defaultRowHeight="13.8" x14ac:dyDescent="0.25"/>
  <cols>
    <col min="1" max="1" width="17.59765625" customWidth="1"/>
    <col min="2" max="2" width="18.5" customWidth="1"/>
    <col min="3" max="3" width="20.296875" customWidth="1"/>
    <col min="4" max="4" width="18.09765625" customWidth="1"/>
    <col min="5" max="5" width="16.59765625" customWidth="1"/>
  </cols>
  <sheetData>
    <row r="1" spans="1:4" x14ac:dyDescent="0.25">
      <c r="A1" s="30" t="s">
        <v>117</v>
      </c>
      <c r="B1" s="30" t="s">
        <v>118</v>
      </c>
      <c r="C1" s="30" t="s">
        <v>119</v>
      </c>
      <c r="D1" s="30" t="s">
        <v>120</v>
      </c>
    </row>
    <row r="2" spans="1:4" x14ac:dyDescent="0.25">
      <c r="A2" s="20" t="s">
        <v>35</v>
      </c>
      <c r="B2" s="21" t="s">
        <v>40</v>
      </c>
      <c r="C2" s="22" t="s">
        <v>49</v>
      </c>
      <c r="D2" s="22" t="s">
        <v>57</v>
      </c>
    </row>
    <row r="3" spans="1:4" x14ac:dyDescent="0.25">
      <c r="A3" s="10" t="s">
        <v>36</v>
      </c>
      <c r="B3" s="15" t="s">
        <v>41</v>
      </c>
      <c r="C3" s="10" t="s">
        <v>136</v>
      </c>
      <c r="D3" s="15" t="s">
        <v>58</v>
      </c>
    </row>
    <row r="4" spans="1:4" x14ac:dyDescent="0.25">
      <c r="A4" s="10" t="s">
        <v>37</v>
      </c>
      <c r="B4" s="19" t="s">
        <v>42</v>
      </c>
      <c r="C4" s="14" t="s">
        <v>51</v>
      </c>
      <c r="D4" s="14" t="s">
        <v>59</v>
      </c>
    </row>
    <row r="5" spans="1:4" x14ac:dyDescent="0.25">
      <c r="A5" s="12" t="s">
        <v>38</v>
      </c>
      <c r="B5" s="11" t="s">
        <v>100</v>
      </c>
      <c r="C5" s="13" t="s">
        <v>53</v>
      </c>
      <c r="D5" s="15" t="s">
        <v>91</v>
      </c>
    </row>
    <row r="6" spans="1:4" x14ac:dyDescent="0.25">
      <c r="A6" s="10" t="s">
        <v>74</v>
      </c>
      <c r="B6" s="14" t="s">
        <v>43</v>
      </c>
      <c r="C6" s="12" t="s">
        <v>131</v>
      </c>
      <c r="D6" s="14" t="s">
        <v>61</v>
      </c>
    </row>
    <row r="7" spans="1:4" x14ac:dyDescent="0.25">
      <c r="A7" s="12" t="s">
        <v>134</v>
      </c>
      <c r="B7" s="13" t="s">
        <v>44</v>
      </c>
      <c r="C7" s="13" t="s">
        <v>81</v>
      </c>
      <c r="D7" s="13" t="s">
        <v>62</v>
      </c>
    </row>
    <row r="8" spans="1:4" x14ac:dyDescent="0.25">
      <c r="B8" s="13" t="s">
        <v>45</v>
      </c>
      <c r="D8" s="13" t="s">
        <v>63</v>
      </c>
    </row>
    <row r="9" spans="1:4" x14ac:dyDescent="0.25">
      <c r="B9" s="13" t="s">
        <v>46</v>
      </c>
      <c r="D9" s="47" t="s">
        <v>132</v>
      </c>
    </row>
    <row r="10" spans="1:4" x14ac:dyDescent="0.25">
      <c r="D10" s="14" t="s">
        <v>66</v>
      </c>
    </row>
    <row r="11" spans="1:4" x14ac:dyDescent="0.25">
      <c r="A11" s="30" t="s">
        <v>121</v>
      </c>
      <c r="C11" s="30" t="s">
        <v>123</v>
      </c>
      <c r="D11" s="12" t="s">
        <v>130</v>
      </c>
    </row>
    <row r="12" spans="1:4" x14ac:dyDescent="0.25">
      <c r="A12" s="20" t="s">
        <v>72</v>
      </c>
      <c r="B12" s="30" t="s">
        <v>122</v>
      </c>
      <c r="C12" s="20" t="s">
        <v>82</v>
      </c>
      <c r="D12" s="31" t="s">
        <v>124</v>
      </c>
    </row>
    <row r="13" spans="1:4" x14ac:dyDescent="0.25">
      <c r="A13" s="10" t="s">
        <v>73</v>
      </c>
      <c r="B13" s="22" t="s">
        <v>75</v>
      </c>
      <c r="C13" s="15" t="s">
        <v>83</v>
      </c>
      <c r="D13" s="22" t="s">
        <v>64</v>
      </c>
    </row>
    <row r="14" spans="1:4" x14ac:dyDescent="0.25">
      <c r="A14" s="13" t="s">
        <v>54</v>
      </c>
      <c r="B14" s="10" t="s">
        <v>76</v>
      </c>
      <c r="C14" s="10" t="s">
        <v>84</v>
      </c>
      <c r="D14" s="15" t="s">
        <v>65</v>
      </c>
    </row>
    <row r="15" spans="1:4" x14ac:dyDescent="0.25">
      <c r="A15" s="15" t="s">
        <v>50</v>
      </c>
      <c r="B15" s="14" t="s">
        <v>77</v>
      </c>
      <c r="C15" s="14" t="s">
        <v>85</v>
      </c>
      <c r="D15" s="48" t="s">
        <v>90</v>
      </c>
    </row>
    <row r="16" spans="1:4" x14ac:dyDescent="0.25">
      <c r="B16" s="14" t="s">
        <v>78</v>
      </c>
      <c r="C16" s="14" t="s">
        <v>86</v>
      </c>
      <c r="D16" s="14" t="s">
        <v>67</v>
      </c>
    </row>
    <row r="17" spans="1:9" x14ac:dyDescent="0.25">
      <c r="B17" s="11" t="s">
        <v>79</v>
      </c>
      <c r="C17" s="14" t="s">
        <v>94</v>
      </c>
      <c r="D17" s="47" t="s">
        <v>178</v>
      </c>
    </row>
    <row r="18" spans="1:9" x14ac:dyDescent="0.25">
      <c r="B18" s="13" t="s">
        <v>80</v>
      </c>
      <c r="C18" s="13" t="s">
        <v>88</v>
      </c>
      <c r="D18" s="13" t="s">
        <v>69</v>
      </c>
    </row>
    <row r="19" spans="1:9" x14ac:dyDescent="0.25">
      <c r="B19" s="13" t="s">
        <v>55</v>
      </c>
      <c r="C19" s="13" t="s">
        <v>89</v>
      </c>
      <c r="D19" s="13" t="s">
        <v>70</v>
      </c>
      <c r="E19" s="13"/>
    </row>
    <row r="20" spans="1:9" x14ac:dyDescent="0.25">
      <c r="A20" s="31" t="s">
        <v>125</v>
      </c>
      <c r="B20" s="13" t="s">
        <v>177</v>
      </c>
      <c r="C20" s="30" t="s">
        <v>127</v>
      </c>
      <c r="D20" s="13" t="s">
        <v>71</v>
      </c>
    </row>
    <row r="21" spans="1:9" x14ac:dyDescent="0.25">
      <c r="A21" s="22" t="s">
        <v>135</v>
      </c>
      <c r="B21" s="30" t="s">
        <v>126</v>
      </c>
      <c r="C21" s="20" t="s">
        <v>103</v>
      </c>
      <c r="D21" s="13" t="s">
        <v>47</v>
      </c>
    </row>
    <row r="22" spans="1:9" x14ac:dyDescent="0.25">
      <c r="A22" s="14" t="s">
        <v>92</v>
      </c>
      <c r="B22" s="20" t="s">
        <v>96</v>
      </c>
      <c r="C22" s="10" t="s">
        <v>104</v>
      </c>
      <c r="D22" s="12" t="s">
        <v>129</v>
      </c>
    </row>
    <row r="23" spans="1:9" x14ac:dyDescent="0.25">
      <c r="A23" s="14" t="s">
        <v>93</v>
      </c>
      <c r="B23" s="26" t="s">
        <v>97</v>
      </c>
      <c r="C23" s="10" t="s">
        <v>105</v>
      </c>
      <c r="D23" s="14" t="s">
        <v>68</v>
      </c>
      <c r="E23" s="12"/>
    </row>
    <row r="24" spans="1:9" x14ac:dyDescent="0.25">
      <c r="A24" s="14" t="s">
        <v>87</v>
      </c>
      <c r="B24" s="10" t="s">
        <v>98</v>
      </c>
      <c r="C24" s="10" t="s">
        <v>106</v>
      </c>
      <c r="D24" s="14" t="s">
        <v>52</v>
      </c>
    </row>
    <row r="25" spans="1:9" x14ac:dyDescent="0.25">
      <c r="A25" s="13" t="s">
        <v>48</v>
      </c>
      <c r="B25" s="10" t="s">
        <v>99</v>
      </c>
      <c r="C25" s="13" t="s">
        <v>110</v>
      </c>
    </row>
    <row r="26" spans="1:9" x14ac:dyDescent="0.25">
      <c r="A26" s="13" t="s">
        <v>95</v>
      </c>
      <c r="B26" s="13" t="s">
        <v>111</v>
      </c>
      <c r="C26" s="18" t="s">
        <v>101</v>
      </c>
    </row>
    <row r="27" spans="1:9" x14ac:dyDescent="0.25">
      <c r="A27" s="13" t="s">
        <v>110</v>
      </c>
      <c r="B27" s="13" t="s">
        <v>112</v>
      </c>
      <c r="C27" s="12" t="s">
        <v>128</v>
      </c>
    </row>
    <row r="28" spans="1:9" x14ac:dyDescent="0.25">
      <c r="A28" s="14" t="s">
        <v>60</v>
      </c>
      <c r="B28" s="13" t="s">
        <v>102</v>
      </c>
      <c r="C28" s="11" t="s">
        <v>39</v>
      </c>
    </row>
    <row r="29" spans="1:9" x14ac:dyDescent="0.25">
      <c r="A29" s="12" t="s">
        <v>133</v>
      </c>
    </row>
    <row r="31" spans="1:9" x14ac:dyDescent="0.25">
      <c r="I31" t="s">
        <v>109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164E-B5A8-411A-BD75-B85262ABC30E}">
  <dimension ref="A1:AM43"/>
  <sheetViews>
    <sheetView topLeftCell="X1" workbookViewId="0">
      <selection activeCell="A2" sqref="A2:J11"/>
    </sheetView>
  </sheetViews>
  <sheetFormatPr defaultRowHeight="13.8" x14ac:dyDescent="0.25"/>
  <cols>
    <col min="2" max="2" width="12.59765625" customWidth="1"/>
    <col min="3" max="3" width="13" customWidth="1"/>
    <col min="4" max="4" width="13.796875" customWidth="1"/>
    <col min="5" max="5" width="14.3984375" customWidth="1"/>
    <col min="6" max="6" width="15.3984375" customWidth="1"/>
    <col min="7" max="7" width="13.19921875" customWidth="1"/>
    <col min="8" max="8" width="10.59765625" customWidth="1"/>
    <col min="18" max="18" width="12.69921875" customWidth="1"/>
    <col min="19" max="19" width="13.5" customWidth="1"/>
    <col min="22" max="22" width="13" customWidth="1"/>
    <col min="23" max="23" width="12.8984375" customWidth="1"/>
    <col min="33" max="33" width="8.796875" customWidth="1"/>
    <col min="34" max="34" width="11.69921875" customWidth="1"/>
    <col min="35" max="35" width="12.59765625" customWidth="1"/>
  </cols>
  <sheetData>
    <row r="1" spans="1:39" ht="24.6" x14ac:dyDescent="0.4">
      <c r="A1" s="1"/>
      <c r="B1" s="3" t="s">
        <v>156</v>
      </c>
      <c r="C1" s="3"/>
      <c r="D1" s="3"/>
      <c r="E1" s="3"/>
      <c r="F1" s="1"/>
      <c r="G1" s="1"/>
      <c r="H1" s="1"/>
      <c r="I1" s="1" t="s">
        <v>8</v>
      </c>
      <c r="P1" s="1"/>
      <c r="Q1" t="s">
        <v>157</v>
      </c>
      <c r="R1" t="s">
        <v>171</v>
      </c>
      <c r="AD1" s="5"/>
      <c r="AE1" s="5" t="s">
        <v>6</v>
      </c>
      <c r="AF1" s="5" t="s">
        <v>13</v>
      </c>
      <c r="AG1" s="5" t="s">
        <v>23</v>
      </c>
      <c r="AH1" s="5"/>
      <c r="AI1" s="5" t="s">
        <v>12</v>
      </c>
      <c r="AK1" s="5" t="s">
        <v>5</v>
      </c>
      <c r="AL1" s="5" t="s">
        <v>7</v>
      </c>
    </row>
    <row r="2" spans="1:39" x14ac:dyDescent="0.25">
      <c r="A2" s="5"/>
      <c r="B2" s="5" t="s">
        <v>6</v>
      </c>
      <c r="C2" t="s">
        <v>11</v>
      </c>
      <c r="D2" s="5" t="s">
        <v>28</v>
      </c>
      <c r="E2" s="5" t="s">
        <v>28</v>
      </c>
      <c r="F2" s="5" t="s">
        <v>13</v>
      </c>
      <c r="G2" s="5" t="s">
        <v>15</v>
      </c>
      <c r="H2" s="5" t="s">
        <v>5</v>
      </c>
      <c r="I2" s="5" t="s">
        <v>7</v>
      </c>
      <c r="P2" s="5"/>
      <c r="Q2" s="5" t="s">
        <v>6</v>
      </c>
      <c r="R2" s="5" t="s">
        <v>13</v>
      </c>
      <c r="S2" s="5" t="s">
        <v>23</v>
      </c>
      <c r="T2" s="5"/>
      <c r="U2" s="5" t="s">
        <v>7</v>
      </c>
      <c r="W2" s="5" t="s">
        <v>5</v>
      </c>
      <c r="AD2" s="6" t="s">
        <v>9</v>
      </c>
      <c r="AE2" s="6" t="s">
        <v>17</v>
      </c>
      <c r="AF2" s="6" t="s">
        <v>14</v>
      </c>
      <c r="AG2" s="6" t="s">
        <v>21</v>
      </c>
      <c r="AH2" s="6"/>
      <c r="AI2" s="6" t="s">
        <v>155</v>
      </c>
      <c r="AK2" s="6" t="s">
        <v>10</v>
      </c>
      <c r="AL2" s="6" t="s">
        <v>172</v>
      </c>
      <c r="AM2" s="6" t="s">
        <v>143</v>
      </c>
    </row>
    <row r="3" spans="1:39" x14ac:dyDescent="0.25">
      <c r="A3" s="6" t="s">
        <v>9</v>
      </c>
      <c r="B3" s="6" t="s">
        <v>17</v>
      </c>
      <c r="C3" t="s">
        <v>12</v>
      </c>
      <c r="D3" s="6" t="s">
        <v>29</v>
      </c>
      <c r="E3" s="6" t="s">
        <v>29</v>
      </c>
      <c r="F3" s="6" t="s">
        <v>14</v>
      </c>
      <c r="G3" s="6" t="s">
        <v>2</v>
      </c>
      <c r="H3" s="6" t="s">
        <v>10</v>
      </c>
      <c r="I3" s="6" t="s">
        <v>155</v>
      </c>
      <c r="J3" s="6" t="s">
        <v>143</v>
      </c>
      <c r="P3" s="6" t="s">
        <v>9</v>
      </c>
      <c r="Q3" s="6" t="s">
        <v>17</v>
      </c>
      <c r="R3" s="6" t="s">
        <v>14</v>
      </c>
      <c r="S3" s="6" t="s">
        <v>21</v>
      </c>
      <c r="T3" s="6"/>
      <c r="U3" s="6" t="s">
        <v>155</v>
      </c>
      <c r="W3" s="6" t="s">
        <v>10</v>
      </c>
      <c r="Y3" s="6" t="s">
        <v>143</v>
      </c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25">
      <c r="A4" s="6"/>
      <c r="B4" s="6" t="s">
        <v>173</v>
      </c>
      <c r="C4" s="6" t="s">
        <v>174</v>
      </c>
      <c r="D4" s="6" t="s">
        <v>176</v>
      </c>
      <c r="E4" s="6" t="s">
        <v>175</v>
      </c>
      <c r="F4" s="6" t="s">
        <v>151</v>
      </c>
      <c r="G4" s="6"/>
      <c r="H4" s="6"/>
      <c r="I4" s="6"/>
      <c r="J4" s="6"/>
      <c r="P4" s="6" t="s">
        <v>108</v>
      </c>
      <c r="Q4" s="6"/>
      <c r="R4" s="6" t="s">
        <v>151</v>
      </c>
      <c r="S4" s="6" t="s">
        <v>137</v>
      </c>
      <c r="T4" s="6"/>
      <c r="U4" s="6" t="s">
        <v>161</v>
      </c>
      <c r="V4" s="6" t="s">
        <v>164</v>
      </c>
      <c r="W4" s="6"/>
      <c r="X4" s="6"/>
      <c r="Y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25">
      <c r="A5" s="6"/>
      <c r="B5" s="6" t="s">
        <v>116</v>
      </c>
      <c r="C5" s="6" t="s">
        <v>160</v>
      </c>
      <c r="D5" s="6" t="s">
        <v>160</v>
      </c>
      <c r="E5" s="6" t="s">
        <v>160</v>
      </c>
      <c r="F5" s="6" t="s">
        <v>116</v>
      </c>
      <c r="G5" s="6"/>
      <c r="H5" s="6"/>
      <c r="I5" s="6"/>
      <c r="J5" s="6"/>
      <c r="P5" s="6"/>
      <c r="Q5" s="6"/>
      <c r="R5" s="6"/>
      <c r="S5" s="6" t="s">
        <v>167</v>
      </c>
      <c r="T5" s="6"/>
      <c r="U5" s="6" t="s">
        <v>173</v>
      </c>
      <c r="V5" s="6"/>
      <c r="W5" s="6"/>
      <c r="X5" s="6"/>
      <c r="Y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25">
      <c r="A6" s="6"/>
      <c r="B6" s="6"/>
      <c r="C6" s="6"/>
      <c r="D6" s="6"/>
      <c r="E6" s="6"/>
      <c r="F6" s="6"/>
      <c r="G6" s="6"/>
      <c r="H6" s="6"/>
      <c r="I6" s="6"/>
      <c r="J6" s="6"/>
      <c r="P6" s="49" t="s">
        <v>179</v>
      </c>
      <c r="Q6" s="49"/>
      <c r="R6" s="50">
        <v>0.1875</v>
      </c>
      <c r="S6" s="50">
        <v>0.1875</v>
      </c>
      <c r="T6" s="49"/>
      <c r="U6" s="50">
        <v>0.2638888888888889</v>
      </c>
      <c r="V6" s="50">
        <v>0.2638888888888889</v>
      </c>
      <c r="W6" s="50">
        <v>0.2638888888888889</v>
      </c>
      <c r="X6" s="49"/>
      <c r="Y6" s="49"/>
      <c r="AD6" s="7" t="s">
        <v>16</v>
      </c>
      <c r="AE6" s="7">
        <v>6</v>
      </c>
      <c r="AF6" s="7">
        <v>8</v>
      </c>
      <c r="AG6" s="7">
        <v>20</v>
      </c>
      <c r="AH6" s="7">
        <v>10</v>
      </c>
      <c r="AI6" s="7"/>
      <c r="AJ6" s="7">
        <v>4</v>
      </c>
      <c r="AK6" s="7"/>
      <c r="AL6" s="7">
        <v>40</v>
      </c>
      <c r="AM6" s="7" t="s">
        <v>144</v>
      </c>
    </row>
    <row r="7" spans="1:39" x14ac:dyDescent="0.25">
      <c r="A7" s="7" t="s">
        <v>16</v>
      </c>
      <c r="B7" s="7">
        <v>6</v>
      </c>
      <c r="C7" s="7"/>
      <c r="D7" s="7">
        <v>30</v>
      </c>
      <c r="E7" s="7">
        <v>20</v>
      </c>
      <c r="F7" s="7">
        <v>10</v>
      </c>
      <c r="G7" s="7"/>
      <c r="H7" s="7">
        <v>4</v>
      </c>
      <c r="I7" s="7">
        <v>40</v>
      </c>
      <c r="J7" s="7" t="s">
        <v>144</v>
      </c>
      <c r="P7" s="7" t="s">
        <v>16</v>
      </c>
      <c r="Q7" s="7">
        <v>6</v>
      </c>
      <c r="R7" s="7">
        <v>8</v>
      </c>
      <c r="S7" s="7">
        <v>20</v>
      </c>
      <c r="T7" s="7">
        <v>10</v>
      </c>
      <c r="U7" s="7"/>
      <c r="V7" s="7">
        <v>4</v>
      </c>
      <c r="W7" s="7"/>
      <c r="X7" s="7">
        <v>40</v>
      </c>
      <c r="Y7" s="7" t="s">
        <v>144</v>
      </c>
      <c r="AD7" s="34" t="s">
        <v>108</v>
      </c>
      <c r="AE7" s="34"/>
      <c r="AF7" s="34" t="s">
        <v>151</v>
      </c>
      <c r="AG7" s="34" t="s">
        <v>149</v>
      </c>
      <c r="AH7" s="34" t="s">
        <v>150</v>
      </c>
      <c r="AI7" s="34" t="s">
        <v>12</v>
      </c>
      <c r="AJ7" s="34"/>
      <c r="AK7" s="34"/>
      <c r="AL7" s="34" t="s">
        <v>152</v>
      </c>
      <c r="AM7" s="34"/>
    </row>
    <row r="8" spans="1:39" x14ac:dyDescent="0.25">
      <c r="A8" s="34" t="s">
        <v>9</v>
      </c>
      <c r="B8" s="34" t="s">
        <v>170</v>
      </c>
      <c r="C8" s="34" t="s">
        <v>12</v>
      </c>
      <c r="D8" s="34" t="s">
        <v>29</v>
      </c>
      <c r="E8" s="34" t="s">
        <v>29</v>
      </c>
      <c r="F8" s="34" t="s">
        <v>14</v>
      </c>
      <c r="G8" s="34"/>
      <c r="H8" s="34" t="s">
        <v>5</v>
      </c>
      <c r="I8" s="34" t="s">
        <v>7</v>
      </c>
      <c r="J8" s="34"/>
      <c r="P8" s="34" t="s">
        <v>107</v>
      </c>
      <c r="Q8" s="34"/>
      <c r="R8" s="34"/>
      <c r="S8" s="34" t="s">
        <v>180</v>
      </c>
      <c r="T8" s="34"/>
      <c r="U8" s="34"/>
      <c r="V8" s="34"/>
      <c r="W8" s="34"/>
      <c r="X8" s="34"/>
      <c r="Y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 spans="1:39" x14ac:dyDescent="0.25">
      <c r="A9" s="41"/>
      <c r="B9" s="43">
        <v>0.20833333333333334</v>
      </c>
      <c r="C9" s="43">
        <v>0.20833333333333334</v>
      </c>
      <c r="D9" s="43">
        <v>0.20833333333333334</v>
      </c>
      <c r="E9" s="41"/>
      <c r="F9" s="43">
        <v>0.1875</v>
      </c>
      <c r="G9" s="41"/>
      <c r="H9" s="41"/>
      <c r="I9" s="41"/>
      <c r="J9" s="34"/>
      <c r="P9" s="34"/>
      <c r="Q9" s="34"/>
      <c r="R9" s="46"/>
      <c r="S9" s="46"/>
      <c r="T9" s="34"/>
      <c r="U9" s="46"/>
      <c r="V9" s="34"/>
      <c r="W9" s="46"/>
      <c r="X9" s="34"/>
      <c r="Y9" s="34"/>
      <c r="AD9" s="34"/>
      <c r="AE9" s="34"/>
      <c r="AF9" s="46">
        <v>0.1875</v>
      </c>
      <c r="AG9" s="46">
        <v>0.1875</v>
      </c>
      <c r="AH9" s="34"/>
      <c r="AI9" s="46">
        <v>0.20833333333333334</v>
      </c>
      <c r="AJ9" s="34"/>
      <c r="AK9" s="34"/>
      <c r="AL9" s="46">
        <v>0.27083333333333331</v>
      </c>
      <c r="AM9" s="34"/>
    </row>
    <row r="10" spans="1:39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34"/>
      <c r="P10" s="28"/>
      <c r="Q10" s="28"/>
      <c r="R10" s="28"/>
      <c r="S10" s="28"/>
      <c r="T10" s="28"/>
      <c r="U10" s="28" t="s">
        <v>161</v>
      </c>
      <c r="V10" s="28"/>
      <c r="W10" s="28"/>
      <c r="X10" s="28"/>
      <c r="Y10" s="28"/>
      <c r="AD10" s="34" t="s">
        <v>108</v>
      </c>
      <c r="AE10" s="34"/>
      <c r="AF10" s="34"/>
      <c r="AG10" s="34"/>
      <c r="AH10" s="34"/>
      <c r="AI10" s="34"/>
      <c r="AJ10" s="34"/>
      <c r="AK10" s="34"/>
      <c r="AL10" s="34" t="s">
        <v>142</v>
      </c>
      <c r="AM10" s="34"/>
    </row>
    <row r="11" spans="1:39" x14ac:dyDescent="0.25">
      <c r="A11" s="34" t="s">
        <v>108</v>
      </c>
      <c r="B11" s="34"/>
      <c r="C11" s="34"/>
      <c r="D11" s="34"/>
      <c r="E11" s="34"/>
      <c r="F11" s="34"/>
      <c r="G11" s="34"/>
      <c r="H11" s="34"/>
      <c r="I11" s="34" t="s">
        <v>142</v>
      </c>
      <c r="J11" s="34"/>
      <c r="P11" s="28" t="s">
        <v>108</v>
      </c>
      <c r="Q11" s="28"/>
      <c r="R11" s="28"/>
      <c r="S11" s="28"/>
      <c r="T11" s="28"/>
      <c r="U11" s="28"/>
      <c r="V11" s="28"/>
      <c r="W11" s="28"/>
      <c r="X11" s="28" t="s">
        <v>142</v>
      </c>
      <c r="Y11" s="28"/>
      <c r="AE11" s="20" t="s">
        <v>35</v>
      </c>
      <c r="AF11" s="22" t="s">
        <v>49</v>
      </c>
      <c r="AG11" s="22" t="s">
        <v>64</v>
      </c>
      <c r="AI11" s="22" t="s">
        <v>57</v>
      </c>
      <c r="AK11" s="20" t="s">
        <v>73</v>
      </c>
      <c r="AL11" s="22" t="s">
        <v>75</v>
      </c>
    </row>
    <row r="12" spans="1:39" x14ac:dyDescent="0.25">
      <c r="B12" s="20" t="s">
        <v>35</v>
      </c>
      <c r="C12" s="20" t="s">
        <v>82</v>
      </c>
      <c r="D12" s="22" t="s">
        <v>57</v>
      </c>
      <c r="E12" s="21" t="s">
        <v>40</v>
      </c>
      <c r="F12" s="22" t="s">
        <v>49</v>
      </c>
      <c r="H12" s="20" t="s">
        <v>73</v>
      </c>
      <c r="I12" s="22" t="s">
        <v>75</v>
      </c>
      <c r="Q12" s="20" t="s">
        <v>35</v>
      </c>
      <c r="R12" s="22" t="s">
        <v>49</v>
      </c>
      <c r="S12" s="22" t="s">
        <v>64</v>
      </c>
      <c r="U12" s="22" t="s">
        <v>57</v>
      </c>
      <c r="V12" s="21" t="s">
        <v>40</v>
      </c>
      <c r="W12" s="20" t="s">
        <v>73</v>
      </c>
      <c r="AE12" s="10" t="s">
        <v>36</v>
      </c>
      <c r="AF12" s="15" t="s">
        <v>50</v>
      </c>
      <c r="AG12" s="15" t="s">
        <v>65</v>
      </c>
      <c r="AI12" s="15" t="s">
        <v>58</v>
      </c>
      <c r="AK12" s="10" t="s">
        <v>136</v>
      </c>
      <c r="AL12" s="10" t="s">
        <v>76</v>
      </c>
    </row>
    <row r="13" spans="1:39" x14ac:dyDescent="0.25">
      <c r="B13" s="10" t="s">
        <v>36</v>
      </c>
      <c r="C13" s="15" t="s">
        <v>83</v>
      </c>
      <c r="D13" s="15" t="s">
        <v>58</v>
      </c>
      <c r="E13" s="15" t="s">
        <v>41</v>
      </c>
      <c r="F13" s="15" t="s">
        <v>50</v>
      </c>
      <c r="H13" s="10" t="s">
        <v>136</v>
      </c>
      <c r="I13" s="10"/>
      <c r="Q13" s="10" t="s">
        <v>36</v>
      </c>
      <c r="R13" s="15" t="s">
        <v>50</v>
      </c>
      <c r="S13" s="15" t="s">
        <v>65</v>
      </c>
      <c r="U13" s="15" t="s">
        <v>58</v>
      </c>
      <c r="V13" s="15" t="s">
        <v>41</v>
      </c>
      <c r="W13" s="10" t="s">
        <v>136</v>
      </c>
      <c r="AE13" s="10" t="s">
        <v>37</v>
      </c>
      <c r="AF13" s="14" t="s">
        <v>51</v>
      </c>
      <c r="AG13" s="32" t="s">
        <v>90</v>
      </c>
      <c r="AI13" s="14" t="s">
        <v>60</v>
      </c>
      <c r="AK13" s="14" t="s">
        <v>59</v>
      </c>
      <c r="AL13" s="14" t="s">
        <v>77</v>
      </c>
    </row>
    <row r="14" spans="1:39" x14ac:dyDescent="0.25">
      <c r="B14" s="10" t="s">
        <v>37</v>
      </c>
      <c r="C14" s="10" t="s">
        <v>84</v>
      </c>
      <c r="D14" s="14" t="s">
        <v>60</v>
      </c>
      <c r="E14" s="19" t="s">
        <v>42</v>
      </c>
      <c r="F14" s="14" t="s">
        <v>51</v>
      </c>
      <c r="H14" s="14" t="s">
        <v>59</v>
      </c>
      <c r="I14" s="14" t="s">
        <v>77</v>
      </c>
      <c r="Q14" s="10" t="s">
        <v>37</v>
      </c>
      <c r="R14" s="14" t="s">
        <v>51</v>
      </c>
      <c r="S14" s="48" t="s">
        <v>90</v>
      </c>
      <c r="U14" s="14" t="s">
        <v>60</v>
      </c>
      <c r="V14" s="19" t="s">
        <v>42</v>
      </c>
      <c r="W14" s="14" t="s">
        <v>59</v>
      </c>
      <c r="AE14" s="12" t="s">
        <v>38</v>
      </c>
      <c r="AF14" s="14" t="s">
        <v>52</v>
      </c>
      <c r="AG14" s="14" t="s">
        <v>67</v>
      </c>
      <c r="AI14" s="14" t="s">
        <v>61</v>
      </c>
      <c r="AK14" s="12" t="s">
        <v>133</v>
      </c>
      <c r="AL14" s="14" t="s">
        <v>78</v>
      </c>
    </row>
    <row r="15" spans="1:39" x14ac:dyDescent="0.25">
      <c r="B15" s="12" t="s">
        <v>38</v>
      </c>
      <c r="C15" s="14" t="s">
        <v>85</v>
      </c>
      <c r="D15" s="14" t="s">
        <v>61</v>
      </c>
      <c r="E15" s="11" t="s">
        <v>100</v>
      </c>
      <c r="F15" s="14" t="s">
        <v>52</v>
      </c>
      <c r="H15" s="12" t="s">
        <v>133</v>
      </c>
      <c r="I15" s="14" t="s">
        <v>78</v>
      </c>
      <c r="Q15" s="12" t="s">
        <v>38</v>
      </c>
      <c r="R15" s="14" t="s">
        <v>52</v>
      </c>
      <c r="S15" s="14" t="s">
        <v>67</v>
      </c>
      <c r="U15" s="14" t="s">
        <v>61</v>
      </c>
      <c r="V15" s="11" t="s">
        <v>100</v>
      </c>
      <c r="W15" s="12" t="s">
        <v>133</v>
      </c>
      <c r="AE15" s="10" t="s">
        <v>74</v>
      </c>
      <c r="AF15" s="13" t="s">
        <v>53</v>
      </c>
      <c r="AG15" s="12" t="s">
        <v>129</v>
      </c>
      <c r="AI15" s="13" t="s">
        <v>62</v>
      </c>
      <c r="AL15" s="11" t="s">
        <v>79</v>
      </c>
    </row>
    <row r="16" spans="1:39" x14ac:dyDescent="0.25">
      <c r="B16" s="10" t="s">
        <v>74</v>
      </c>
      <c r="C16" s="14" t="s">
        <v>86</v>
      </c>
      <c r="D16" s="13" t="s">
        <v>62</v>
      </c>
      <c r="E16" s="14" t="s">
        <v>43</v>
      </c>
      <c r="F16" s="13" t="s">
        <v>53</v>
      </c>
      <c r="I16" s="11" t="s">
        <v>79</v>
      </c>
      <c r="Q16" s="10" t="s">
        <v>74</v>
      </c>
      <c r="R16" s="13" t="s">
        <v>53</v>
      </c>
      <c r="S16" s="12" t="s">
        <v>129</v>
      </c>
      <c r="U16" s="13" t="s">
        <v>62</v>
      </c>
      <c r="V16" s="14" t="s">
        <v>43</v>
      </c>
      <c r="AE16" s="12" t="s">
        <v>134</v>
      </c>
      <c r="AF16" s="13" t="s">
        <v>54</v>
      </c>
      <c r="AG16" s="13" t="s">
        <v>69</v>
      </c>
      <c r="AI16" s="13" t="s">
        <v>63</v>
      </c>
      <c r="AL16" s="13" t="s">
        <v>80</v>
      </c>
    </row>
    <row r="17" spans="2:38" x14ac:dyDescent="0.25">
      <c r="B17" s="12" t="s">
        <v>134</v>
      </c>
      <c r="C17" s="14" t="s">
        <v>94</v>
      </c>
      <c r="D17" s="13" t="s">
        <v>63</v>
      </c>
      <c r="E17" s="13" t="s">
        <v>44</v>
      </c>
      <c r="F17" s="13" t="s">
        <v>54</v>
      </c>
      <c r="I17" s="13" t="s">
        <v>80</v>
      </c>
      <c r="Q17" s="12" t="s">
        <v>134</v>
      </c>
      <c r="R17" s="13" t="s">
        <v>54</v>
      </c>
      <c r="S17" s="13" t="s">
        <v>69</v>
      </c>
      <c r="U17" s="13" t="s">
        <v>63</v>
      </c>
      <c r="V17" s="13" t="s">
        <v>44</v>
      </c>
      <c r="AF17" s="13" t="s">
        <v>55</v>
      </c>
      <c r="AG17" s="13" t="s">
        <v>70</v>
      </c>
      <c r="AI17" s="14" t="s">
        <v>66</v>
      </c>
      <c r="AL17" s="14" t="s">
        <v>68</v>
      </c>
    </row>
    <row r="18" spans="2:38" x14ac:dyDescent="0.25">
      <c r="C18" s="13" t="s">
        <v>88</v>
      </c>
      <c r="D18" s="14" t="s">
        <v>66</v>
      </c>
      <c r="E18" s="13" t="s">
        <v>45</v>
      </c>
      <c r="F18" s="13" t="s">
        <v>55</v>
      </c>
      <c r="I18" s="14" t="s">
        <v>68</v>
      </c>
      <c r="R18" s="13" t="s">
        <v>55</v>
      </c>
      <c r="S18" s="13" t="s">
        <v>70</v>
      </c>
      <c r="U18" s="14" t="s">
        <v>66</v>
      </c>
      <c r="V18" s="13" t="s">
        <v>45</v>
      </c>
      <c r="AF18" s="12" t="s">
        <v>131</v>
      </c>
      <c r="AG18" s="13" t="s">
        <v>71</v>
      </c>
      <c r="AL18" s="13" t="s">
        <v>177</v>
      </c>
    </row>
    <row r="19" spans="2:38" x14ac:dyDescent="0.25">
      <c r="C19" s="13" t="s">
        <v>89</v>
      </c>
      <c r="E19" s="13" t="s">
        <v>46</v>
      </c>
      <c r="F19" s="12" t="s">
        <v>131</v>
      </c>
      <c r="I19" s="13" t="s">
        <v>177</v>
      </c>
      <c r="R19" s="12" t="s">
        <v>131</v>
      </c>
      <c r="S19" s="13" t="s">
        <v>71</v>
      </c>
      <c r="V19" s="13" t="s">
        <v>46</v>
      </c>
      <c r="AG19" s="13" t="s">
        <v>47</v>
      </c>
      <c r="AI19" s="20" t="s">
        <v>96</v>
      </c>
      <c r="AL19" s="21" t="s">
        <v>40</v>
      </c>
    </row>
    <row r="20" spans="2:38" x14ac:dyDescent="0.25">
      <c r="C20" s="20" t="s">
        <v>96</v>
      </c>
      <c r="D20" s="45" t="s">
        <v>103</v>
      </c>
      <c r="E20" s="22" t="s">
        <v>64</v>
      </c>
      <c r="F20" s="12" t="s">
        <v>130</v>
      </c>
      <c r="R20" s="12" t="s">
        <v>130</v>
      </c>
      <c r="S20" s="13" t="s">
        <v>47</v>
      </c>
      <c r="U20" s="20" t="s">
        <v>96</v>
      </c>
      <c r="V20" s="22" t="s">
        <v>75</v>
      </c>
      <c r="AG20" s="12" t="s">
        <v>130</v>
      </c>
      <c r="AI20" s="26" t="s">
        <v>97</v>
      </c>
      <c r="AL20" s="15" t="s">
        <v>41</v>
      </c>
    </row>
    <row r="21" spans="2:38" x14ac:dyDescent="0.25">
      <c r="C21" s="26" t="s">
        <v>97</v>
      </c>
      <c r="D21" s="10"/>
      <c r="E21" s="15" t="s">
        <v>65</v>
      </c>
      <c r="S21" s="12" t="s">
        <v>130</v>
      </c>
      <c r="U21" s="26" t="s">
        <v>97</v>
      </c>
      <c r="V21" s="10" t="s">
        <v>76</v>
      </c>
      <c r="AG21" s="22" t="s">
        <v>135</v>
      </c>
      <c r="AI21" s="10" t="s">
        <v>98</v>
      </c>
      <c r="AL21" s="19" t="s">
        <v>42</v>
      </c>
    </row>
    <row r="22" spans="2:38" x14ac:dyDescent="0.25">
      <c r="C22" s="10" t="s">
        <v>98</v>
      </c>
      <c r="D22" s="10" t="s">
        <v>105</v>
      </c>
      <c r="E22" s="32" t="s">
        <v>90</v>
      </c>
      <c r="S22" s="22" t="s">
        <v>135</v>
      </c>
      <c r="U22" s="10" t="s">
        <v>98</v>
      </c>
      <c r="V22" s="14" t="s">
        <v>77</v>
      </c>
      <c r="AG22" s="15" t="s">
        <v>169</v>
      </c>
      <c r="AI22" s="10" t="s">
        <v>99</v>
      </c>
      <c r="AL22" s="11" t="s">
        <v>100</v>
      </c>
    </row>
    <row r="23" spans="2:38" x14ac:dyDescent="0.25">
      <c r="C23" s="10" t="s">
        <v>99</v>
      </c>
      <c r="D23" s="10" t="s">
        <v>106</v>
      </c>
      <c r="E23" s="14" t="s">
        <v>67</v>
      </c>
      <c r="S23" s="15" t="s">
        <v>169</v>
      </c>
      <c r="U23" s="10" t="s">
        <v>99</v>
      </c>
      <c r="V23" s="14" t="s">
        <v>78</v>
      </c>
      <c r="AG23" s="14" t="s">
        <v>92</v>
      </c>
      <c r="AI23" s="13" t="s">
        <v>111</v>
      </c>
      <c r="AL23" s="14" t="s">
        <v>43</v>
      </c>
    </row>
    <row r="24" spans="2:38" x14ac:dyDescent="0.25">
      <c r="C24" s="13" t="s">
        <v>111</v>
      </c>
      <c r="D24" s="13" t="s">
        <v>110</v>
      </c>
      <c r="E24" s="12" t="s">
        <v>129</v>
      </c>
      <c r="S24" s="14" t="s">
        <v>92</v>
      </c>
      <c r="U24" s="13" t="s">
        <v>111</v>
      </c>
      <c r="V24" s="11" t="s">
        <v>79</v>
      </c>
      <c r="AG24" s="14" t="s">
        <v>93</v>
      </c>
      <c r="AI24" s="13" t="s">
        <v>112</v>
      </c>
      <c r="AL24" s="13" t="s">
        <v>44</v>
      </c>
    </row>
    <row r="25" spans="2:38" x14ac:dyDescent="0.25">
      <c r="C25" s="13" t="s">
        <v>112</v>
      </c>
      <c r="D25" s="18" t="s">
        <v>101</v>
      </c>
      <c r="E25" s="13" t="s">
        <v>69</v>
      </c>
      <c r="S25" s="14" t="s">
        <v>93</v>
      </c>
      <c r="U25" s="13" t="s">
        <v>112</v>
      </c>
      <c r="V25" s="13" t="s">
        <v>80</v>
      </c>
      <c r="AG25" s="14" t="s">
        <v>87</v>
      </c>
      <c r="AI25" s="13" t="s">
        <v>102</v>
      </c>
      <c r="AL25" s="13" t="s">
        <v>45</v>
      </c>
    </row>
    <row r="26" spans="2:38" x14ac:dyDescent="0.25">
      <c r="C26" s="13" t="s">
        <v>102</v>
      </c>
      <c r="D26" s="12" t="s">
        <v>128</v>
      </c>
      <c r="E26" s="13" t="s">
        <v>70</v>
      </c>
      <c r="S26" s="14" t="s">
        <v>87</v>
      </c>
      <c r="U26" s="13" t="s">
        <v>102</v>
      </c>
      <c r="V26" s="14" t="s">
        <v>68</v>
      </c>
      <c r="AG26" s="13" t="s">
        <v>48</v>
      </c>
      <c r="AI26" s="13" t="s">
        <v>81</v>
      </c>
      <c r="AL26" s="13" t="s">
        <v>46</v>
      </c>
    </row>
    <row r="27" spans="2:38" x14ac:dyDescent="0.25">
      <c r="C27" s="13" t="s">
        <v>81</v>
      </c>
      <c r="D27" s="11" t="s">
        <v>39</v>
      </c>
      <c r="E27" s="13" t="s">
        <v>71</v>
      </c>
      <c r="S27" s="13" t="s">
        <v>48</v>
      </c>
      <c r="U27" s="13" t="s">
        <v>81</v>
      </c>
      <c r="V27" s="13" t="s">
        <v>177</v>
      </c>
      <c r="AG27" s="13" t="s">
        <v>95</v>
      </c>
      <c r="AI27" s="20" t="s">
        <v>82</v>
      </c>
    </row>
    <row r="28" spans="2:38" x14ac:dyDescent="0.25">
      <c r="D28" s="22"/>
      <c r="E28" s="13" t="s">
        <v>47</v>
      </c>
      <c r="S28" s="13" t="s">
        <v>95</v>
      </c>
      <c r="U28" s="20" t="s">
        <v>82</v>
      </c>
      <c r="AG28" s="13" t="s">
        <v>110</v>
      </c>
      <c r="AI28" s="15" t="s">
        <v>83</v>
      </c>
    </row>
    <row r="29" spans="2:38" x14ac:dyDescent="0.25">
      <c r="D29" s="15" t="s">
        <v>169</v>
      </c>
      <c r="E29" s="12" t="s">
        <v>130</v>
      </c>
      <c r="S29" s="13" t="s">
        <v>110</v>
      </c>
      <c r="U29" s="15" t="s">
        <v>83</v>
      </c>
      <c r="AI29" s="10" t="s">
        <v>84</v>
      </c>
    </row>
    <row r="30" spans="2:38" x14ac:dyDescent="0.25">
      <c r="D30" s="14" t="s">
        <v>92</v>
      </c>
      <c r="U30" s="10" t="s">
        <v>84</v>
      </c>
      <c r="AI30" s="14" t="s">
        <v>85</v>
      </c>
    </row>
    <row r="31" spans="2:38" x14ac:dyDescent="0.25">
      <c r="D31" s="14" t="s">
        <v>93</v>
      </c>
      <c r="U31" s="14" t="s">
        <v>85</v>
      </c>
      <c r="AI31" s="14" t="s">
        <v>86</v>
      </c>
    </row>
    <row r="32" spans="2:38" x14ac:dyDescent="0.25">
      <c r="D32" s="14" t="s">
        <v>87</v>
      </c>
      <c r="U32" s="14" t="s">
        <v>86</v>
      </c>
      <c r="AI32" s="14" t="s">
        <v>94</v>
      </c>
    </row>
    <row r="33" spans="4:35" x14ac:dyDescent="0.25">
      <c r="D33" s="13" t="s">
        <v>48</v>
      </c>
      <c r="U33" s="14" t="s">
        <v>94</v>
      </c>
      <c r="AI33" s="13" t="s">
        <v>88</v>
      </c>
    </row>
    <row r="34" spans="4:35" x14ac:dyDescent="0.25">
      <c r="D34" s="13"/>
      <c r="U34" s="13" t="s">
        <v>88</v>
      </c>
      <c r="AI34" s="13" t="s">
        <v>89</v>
      </c>
    </row>
    <row r="35" spans="4:35" x14ac:dyDescent="0.25">
      <c r="D35" s="13" t="s">
        <v>110</v>
      </c>
      <c r="U35" s="13" t="s">
        <v>89</v>
      </c>
      <c r="AI35" s="45" t="s">
        <v>103</v>
      </c>
    </row>
    <row r="36" spans="4:35" x14ac:dyDescent="0.25">
      <c r="U36" s="45" t="s">
        <v>103</v>
      </c>
      <c r="AI36" s="10" t="s">
        <v>104</v>
      </c>
    </row>
    <row r="37" spans="4:35" x14ac:dyDescent="0.25">
      <c r="U37" s="10" t="s">
        <v>104</v>
      </c>
      <c r="AI37" s="10" t="s">
        <v>105</v>
      </c>
    </row>
    <row r="38" spans="4:35" x14ac:dyDescent="0.25">
      <c r="U38" s="10" t="s">
        <v>105</v>
      </c>
      <c r="AI38" s="10" t="s">
        <v>106</v>
      </c>
    </row>
    <row r="39" spans="4:35" x14ac:dyDescent="0.25">
      <c r="U39" s="10" t="s">
        <v>106</v>
      </c>
      <c r="AI39" s="13" t="s">
        <v>110</v>
      </c>
    </row>
    <row r="40" spans="4:35" x14ac:dyDescent="0.25">
      <c r="U40" s="13" t="s">
        <v>110</v>
      </c>
      <c r="AI40" s="18" t="s">
        <v>101</v>
      </c>
    </row>
    <row r="41" spans="4:35" x14ac:dyDescent="0.25">
      <c r="U41" s="18" t="s">
        <v>101</v>
      </c>
      <c r="AI41" s="12" t="s">
        <v>128</v>
      </c>
    </row>
    <row r="42" spans="4:35" x14ac:dyDescent="0.25">
      <c r="U42" s="12" t="s">
        <v>128</v>
      </c>
      <c r="AI42" s="11" t="s">
        <v>39</v>
      </c>
    </row>
    <row r="43" spans="4:35" x14ac:dyDescent="0.25">
      <c r="U43" s="1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2D69-9366-408E-92E8-30999636B8B8}">
  <dimension ref="A1:BD15"/>
  <sheetViews>
    <sheetView rightToLeft="1" tabSelected="1" workbookViewId="0">
      <selection activeCell="AZ2" sqref="AZ2"/>
    </sheetView>
  </sheetViews>
  <sheetFormatPr defaultRowHeight="13.8" x14ac:dyDescent="0.25"/>
  <sheetData>
    <row r="1" spans="1:56" x14ac:dyDescent="0.25">
      <c r="A1" s="16"/>
      <c r="B1" s="16" t="s">
        <v>7</v>
      </c>
      <c r="C1" s="16"/>
      <c r="D1" s="16" t="s">
        <v>197</v>
      </c>
      <c r="E1" s="16"/>
      <c r="F1" s="16"/>
      <c r="G1" s="16"/>
      <c r="H1" s="16" t="s">
        <v>5</v>
      </c>
      <c r="I1" s="16"/>
      <c r="J1" s="16"/>
      <c r="K1" s="16"/>
      <c r="L1" s="16" t="s">
        <v>14</v>
      </c>
      <c r="M1" s="16"/>
      <c r="N1" s="16"/>
      <c r="O1" s="16"/>
      <c r="P1" s="16" t="s">
        <v>11</v>
      </c>
      <c r="Q1" s="16"/>
      <c r="R1" s="16"/>
      <c r="S1" s="16"/>
      <c r="T1" s="16" t="s">
        <v>209</v>
      </c>
      <c r="U1" s="16"/>
      <c r="V1" s="16"/>
      <c r="W1" s="16" t="s">
        <v>29</v>
      </c>
      <c r="X1" s="16"/>
      <c r="Y1" s="16"/>
      <c r="Z1" s="16"/>
      <c r="AA1" s="16"/>
      <c r="AB1" s="16" t="s">
        <v>213</v>
      </c>
      <c r="AC1" s="16"/>
      <c r="AD1" s="16"/>
      <c r="AE1" s="16" t="s">
        <v>162</v>
      </c>
      <c r="AF1" s="16"/>
      <c r="AG1" s="16"/>
      <c r="AH1" s="16" t="s">
        <v>215</v>
      </c>
      <c r="AI1" s="16"/>
      <c r="AJ1" s="16" t="s">
        <v>2</v>
      </c>
      <c r="AK1" s="16"/>
      <c r="AL1" s="16" t="s">
        <v>217</v>
      </c>
      <c r="AM1" s="16"/>
      <c r="AN1" s="16" t="s">
        <v>218</v>
      </c>
      <c r="AO1" s="16"/>
      <c r="AP1" s="16" t="s">
        <v>188</v>
      </c>
      <c r="AQ1" s="16"/>
      <c r="AR1" s="16" t="s">
        <v>186</v>
      </c>
      <c r="AS1" s="16"/>
      <c r="AT1" s="16"/>
      <c r="AU1" s="16"/>
      <c r="AV1" s="16" t="s">
        <v>31</v>
      </c>
      <c r="AW1" s="16"/>
      <c r="AX1" s="16"/>
      <c r="AY1" s="16"/>
      <c r="AZ1" s="16"/>
      <c r="BA1" s="16" t="s">
        <v>21</v>
      </c>
      <c r="BB1" s="16"/>
    </row>
    <row r="2" spans="1:56" x14ac:dyDescent="0.25">
      <c r="D2" t="s">
        <v>201</v>
      </c>
      <c r="E2" t="s">
        <v>200</v>
      </c>
      <c r="H2" t="s">
        <v>201</v>
      </c>
      <c r="I2" t="s">
        <v>200</v>
      </c>
      <c r="L2" t="s">
        <v>201</v>
      </c>
      <c r="M2" t="s">
        <v>200</v>
      </c>
      <c r="P2" t="s">
        <v>201</v>
      </c>
      <c r="Q2" t="s">
        <v>200</v>
      </c>
      <c r="T2" t="s">
        <v>201</v>
      </c>
      <c r="U2" t="s">
        <v>200</v>
      </c>
      <c r="W2" t="s">
        <v>201</v>
      </c>
      <c r="X2" t="s">
        <v>200</v>
      </c>
      <c r="AA2" s="54" t="s">
        <v>220</v>
      </c>
      <c r="AB2" t="s">
        <v>201</v>
      </c>
      <c r="AC2" t="s">
        <v>200</v>
      </c>
      <c r="AE2" t="s">
        <v>201</v>
      </c>
      <c r="AF2" t="s">
        <v>200</v>
      </c>
      <c r="AH2" t="s">
        <v>201</v>
      </c>
      <c r="AI2" t="s">
        <v>200</v>
      </c>
      <c r="AJ2" t="s">
        <v>201</v>
      </c>
      <c r="AK2" t="s">
        <v>200</v>
      </c>
      <c r="AL2" t="s">
        <v>201</v>
      </c>
      <c r="AM2" t="s">
        <v>200</v>
      </c>
      <c r="AN2" t="s">
        <v>201</v>
      </c>
      <c r="AO2" t="s">
        <v>200</v>
      </c>
      <c r="AP2" t="s">
        <v>201</v>
      </c>
      <c r="AQ2" t="s">
        <v>200</v>
      </c>
      <c r="AR2" t="s">
        <v>201</v>
      </c>
      <c r="AU2" t="s">
        <v>200</v>
      </c>
      <c r="AV2" t="s">
        <v>201</v>
      </c>
      <c r="AW2" t="s">
        <v>200</v>
      </c>
      <c r="AZ2" s="54" t="s">
        <v>222</v>
      </c>
      <c r="BA2" t="s">
        <v>201</v>
      </c>
      <c r="BB2" t="s">
        <v>200</v>
      </c>
      <c r="BD2" s="54" t="s">
        <v>221</v>
      </c>
    </row>
    <row r="3" spans="1:56" x14ac:dyDescent="0.25">
      <c r="A3" s="53">
        <v>45173</v>
      </c>
      <c r="B3">
        <v>32</v>
      </c>
      <c r="D3" t="s">
        <v>198</v>
      </c>
      <c r="E3">
        <v>20</v>
      </c>
      <c r="H3" t="s">
        <v>198</v>
      </c>
      <c r="I3">
        <v>20</v>
      </c>
      <c r="L3" t="s">
        <v>198</v>
      </c>
      <c r="M3">
        <v>42</v>
      </c>
      <c r="P3" t="s">
        <v>199</v>
      </c>
      <c r="Q3">
        <v>60.15</v>
      </c>
      <c r="T3" t="s">
        <v>210</v>
      </c>
      <c r="U3">
        <v>90</v>
      </c>
      <c r="W3" t="s">
        <v>202</v>
      </c>
      <c r="X3">
        <v>105</v>
      </c>
      <c r="AB3" t="s">
        <v>198</v>
      </c>
      <c r="AC3">
        <v>35</v>
      </c>
      <c r="AE3" t="s">
        <v>199</v>
      </c>
      <c r="AF3">
        <v>44</v>
      </c>
      <c r="AH3" t="s">
        <v>205</v>
      </c>
      <c r="AI3">
        <v>33.25</v>
      </c>
      <c r="AJ3" t="s">
        <v>216</v>
      </c>
      <c r="AK3">
        <v>144</v>
      </c>
      <c r="AL3" t="s">
        <v>216</v>
      </c>
      <c r="AM3">
        <v>15</v>
      </c>
      <c r="AN3" t="s">
        <v>208</v>
      </c>
      <c r="AO3">
        <v>24</v>
      </c>
      <c r="AP3" t="s">
        <v>208</v>
      </c>
      <c r="AQ3">
        <v>28.8</v>
      </c>
      <c r="AR3" t="s">
        <v>207</v>
      </c>
      <c r="AU3">
        <v>33.25</v>
      </c>
      <c r="AV3" t="s">
        <v>214</v>
      </c>
      <c r="AW3">
        <v>43.2</v>
      </c>
      <c r="BA3" t="s">
        <v>214</v>
      </c>
      <c r="BB3">
        <v>49.5</v>
      </c>
    </row>
    <row r="4" spans="1:56" x14ac:dyDescent="0.25">
      <c r="A4" s="53">
        <v>45174</v>
      </c>
      <c r="B4">
        <v>45</v>
      </c>
      <c r="D4" t="s">
        <v>199</v>
      </c>
      <c r="E4">
        <v>36.299999999999997</v>
      </c>
      <c r="H4" t="s">
        <v>199</v>
      </c>
      <c r="I4">
        <v>29.25</v>
      </c>
      <c r="L4" t="s">
        <v>199</v>
      </c>
      <c r="M4">
        <v>29.6</v>
      </c>
      <c r="P4" t="s">
        <v>202</v>
      </c>
      <c r="Q4">
        <v>71.28</v>
      </c>
      <c r="T4" t="s">
        <v>211</v>
      </c>
      <c r="U4">
        <v>94.45</v>
      </c>
      <c r="W4" t="s">
        <v>204</v>
      </c>
      <c r="X4">
        <v>132</v>
      </c>
      <c r="BA4" t="s">
        <v>219</v>
      </c>
      <c r="BB4">
        <v>58.5</v>
      </c>
    </row>
    <row r="5" spans="1:56" x14ac:dyDescent="0.25">
      <c r="A5" s="53">
        <v>45175</v>
      </c>
      <c r="B5">
        <v>36</v>
      </c>
      <c r="D5" t="s">
        <v>202</v>
      </c>
      <c r="E5">
        <v>16</v>
      </c>
      <c r="H5" t="s">
        <v>202</v>
      </c>
      <c r="I5">
        <v>15</v>
      </c>
      <c r="L5" t="s">
        <v>202</v>
      </c>
      <c r="M5">
        <v>43.5</v>
      </c>
      <c r="P5" t="s">
        <v>204</v>
      </c>
      <c r="Q5">
        <v>67.5</v>
      </c>
      <c r="W5" t="s">
        <v>212</v>
      </c>
      <c r="X5">
        <v>130</v>
      </c>
    </row>
    <row r="6" spans="1:56" x14ac:dyDescent="0.25">
      <c r="A6" s="53">
        <v>45176</v>
      </c>
      <c r="B6">
        <v>85.2</v>
      </c>
      <c r="D6" t="s">
        <v>203</v>
      </c>
      <c r="E6">
        <v>12.5</v>
      </c>
      <c r="H6" t="s">
        <v>203</v>
      </c>
      <c r="I6">
        <v>10.5</v>
      </c>
      <c r="L6" t="s">
        <v>203</v>
      </c>
      <c r="M6">
        <v>20</v>
      </c>
      <c r="P6" t="s">
        <v>206</v>
      </c>
      <c r="Q6">
        <v>81.599999999999994</v>
      </c>
      <c r="W6" t="s">
        <v>210</v>
      </c>
      <c r="X6">
        <v>149</v>
      </c>
    </row>
    <row r="7" spans="1:56" x14ac:dyDescent="0.25">
      <c r="A7" s="53">
        <v>45180</v>
      </c>
      <c r="B7">
        <v>38.4</v>
      </c>
      <c r="D7" t="s">
        <v>204</v>
      </c>
      <c r="E7">
        <v>30</v>
      </c>
      <c r="H7" t="s">
        <v>204</v>
      </c>
      <c r="I7">
        <v>21</v>
      </c>
      <c r="L7" t="s">
        <v>204</v>
      </c>
      <c r="M7">
        <v>44.6</v>
      </c>
      <c r="Q7">
        <v>0</v>
      </c>
    </row>
    <row r="8" spans="1:56" x14ac:dyDescent="0.25">
      <c r="A8" t="s">
        <v>191</v>
      </c>
      <c r="B8">
        <v>94.5</v>
      </c>
      <c r="D8" t="s">
        <v>205</v>
      </c>
      <c r="E8">
        <v>28.6</v>
      </c>
      <c r="H8" t="s">
        <v>205</v>
      </c>
      <c r="I8">
        <v>14.4</v>
      </c>
      <c r="L8" t="s">
        <v>205</v>
      </c>
      <c r="M8">
        <v>47.5</v>
      </c>
      <c r="Q8">
        <v>0</v>
      </c>
    </row>
    <row r="9" spans="1:56" x14ac:dyDescent="0.25">
      <c r="A9" t="s">
        <v>192</v>
      </c>
      <c r="B9">
        <v>110</v>
      </c>
      <c r="D9" t="s">
        <v>206</v>
      </c>
      <c r="E9">
        <v>30</v>
      </c>
      <c r="H9" t="s">
        <v>206</v>
      </c>
      <c r="I9">
        <v>21</v>
      </c>
      <c r="L9" t="s">
        <v>206</v>
      </c>
      <c r="M9">
        <v>47.25</v>
      </c>
      <c r="Q9">
        <v>0</v>
      </c>
    </row>
    <row r="10" spans="1:56" x14ac:dyDescent="0.25">
      <c r="A10" t="s">
        <v>193</v>
      </c>
      <c r="B10">
        <v>33.6</v>
      </c>
      <c r="D10" t="s">
        <v>207</v>
      </c>
      <c r="E10">
        <v>18</v>
      </c>
      <c r="H10" t="s">
        <v>207</v>
      </c>
      <c r="I10">
        <v>35</v>
      </c>
      <c r="L10" t="s">
        <v>207</v>
      </c>
      <c r="M10">
        <v>30</v>
      </c>
      <c r="Q10">
        <v>0</v>
      </c>
    </row>
    <row r="11" spans="1:56" x14ac:dyDescent="0.25">
      <c r="A11" t="s">
        <v>194</v>
      </c>
      <c r="B11">
        <v>144</v>
      </c>
      <c r="D11" t="s">
        <v>208</v>
      </c>
      <c r="E11">
        <v>29</v>
      </c>
      <c r="H11" t="s">
        <v>208</v>
      </c>
      <c r="I11">
        <v>21</v>
      </c>
      <c r="L11" t="s">
        <v>208</v>
      </c>
      <c r="M11">
        <v>38</v>
      </c>
      <c r="Q11">
        <v>0</v>
      </c>
    </row>
    <row r="12" spans="1:56" x14ac:dyDescent="0.25">
      <c r="A12" t="s">
        <v>195</v>
      </c>
      <c r="B12">
        <v>75</v>
      </c>
      <c r="E12">
        <v>0</v>
      </c>
      <c r="M12">
        <v>0</v>
      </c>
      <c r="Q12">
        <v>0</v>
      </c>
    </row>
    <row r="13" spans="1:56" x14ac:dyDescent="0.25">
      <c r="A13" s="1" t="s">
        <v>196</v>
      </c>
      <c r="B13" s="1">
        <f>SUM(B3:B12)</f>
        <v>693.7</v>
      </c>
      <c r="C13" s="1"/>
      <c r="D13" s="1"/>
      <c r="E13" s="1">
        <f>SUM(E3:E12)</f>
        <v>220.4</v>
      </c>
      <c r="F13" s="1"/>
      <c r="G13" s="1"/>
      <c r="H13" s="1"/>
      <c r="I13" s="1">
        <f>SUM(I3:I12)</f>
        <v>187.15</v>
      </c>
      <c r="J13" s="1"/>
      <c r="K13" s="1"/>
      <c r="L13" s="1"/>
      <c r="M13" s="1">
        <f>SUM(M3:M12)</f>
        <v>342.45</v>
      </c>
      <c r="N13" s="1"/>
      <c r="O13" s="1"/>
      <c r="P13" s="1"/>
      <c r="Q13" s="1">
        <f>SUM(Q3:Q12)</f>
        <v>280.52999999999997</v>
      </c>
      <c r="R13" s="1"/>
      <c r="S13" s="1"/>
      <c r="T13" s="1"/>
      <c r="U13" s="1">
        <f>SUM(U3:U12)</f>
        <v>184.45</v>
      </c>
      <c r="V13" s="1"/>
      <c r="W13" s="1"/>
      <c r="X13" s="1">
        <f>SUM(X3:X12)</f>
        <v>516</v>
      </c>
      <c r="Y13" s="1"/>
      <c r="Z13" s="1"/>
      <c r="AA13" s="1"/>
      <c r="AB13" s="1"/>
      <c r="AC13" s="1">
        <f>SUM(AC3:AC12)</f>
        <v>35</v>
      </c>
      <c r="AD13" s="1"/>
      <c r="AE13" s="1"/>
      <c r="AF13" s="1">
        <f>SUM(AF3:AF12)</f>
        <v>44</v>
      </c>
      <c r="AG13" s="1"/>
      <c r="AH13" s="1"/>
      <c r="AI13" s="1">
        <f>SUM(AI3:AI12)</f>
        <v>33.25</v>
      </c>
      <c r="AJ13" s="1"/>
      <c r="AK13" s="1">
        <f>SUM(AK3:AK12)</f>
        <v>144</v>
      </c>
      <c r="AL13" s="1"/>
      <c r="AM13" s="1">
        <f>SUM(AM3:AM12)</f>
        <v>15</v>
      </c>
      <c r="AN13" s="1"/>
      <c r="AO13" s="1">
        <f>SUM(AO3:AO12)</f>
        <v>24</v>
      </c>
      <c r="AP13" s="1"/>
      <c r="AQ13" s="1">
        <f>SUM(AQ3:AQ12)</f>
        <v>28.8</v>
      </c>
      <c r="AR13" s="1"/>
      <c r="AS13" s="1"/>
      <c r="AT13" s="1"/>
      <c r="AU13" s="1">
        <f>SUM(AU3:AU12)</f>
        <v>33.25</v>
      </c>
      <c r="AV13" s="1"/>
      <c r="AW13" s="1">
        <f>SUM(AW3:AW12)</f>
        <v>43.2</v>
      </c>
      <c r="AX13" s="1"/>
      <c r="AY13" s="1"/>
      <c r="AZ13" s="1"/>
      <c r="BA13" s="1"/>
      <c r="BB13" s="1">
        <f>SUM(BB3:BB12)</f>
        <v>108</v>
      </c>
    </row>
    <row r="14" spans="1:56" x14ac:dyDescent="0.25">
      <c r="B14">
        <v>28</v>
      </c>
      <c r="E14">
        <v>28</v>
      </c>
      <c r="I14">
        <v>28</v>
      </c>
      <c r="M14">
        <v>25</v>
      </c>
      <c r="Q14">
        <v>28</v>
      </c>
      <c r="U14">
        <v>28</v>
      </c>
      <c r="X14">
        <v>28</v>
      </c>
      <c r="AC14">
        <v>28</v>
      </c>
      <c r="AF14">
        <v>28</v>
      </c>
      <c r="AI14">
        <v>28</v>
      </c>
      <c r="AK14">
        <v>28</v>
      </c>
      <c r="AM14">
        <v>28</v>
      </c>
      <c r="AO14">
        <v>28</v>
      </c>
      <c r="AQ14">
        <v>28</v>
      </c>
      <c r="AU14">
        <v>28</v>
      </c>
      <c r="AW14">
        <v>28</v>
      </c>
      <c r="BB14">
        <v>28</v>
      </c>
    </row>
    <row r="15" spans="1:56" x14ac:dyDescent="0.25">
      <c r="I15">
        <f>I13*I14</f>
        <v>5240.2</v>
      </c>
      <c r="M15">
        <f>M13*Q13</f>
        <v>96067.498499999987</v>
      </c>
      <c r="Q15">
        <f>Q13*Q14</f>
        <v>7854.8399999999992</v>
      </c>
      <c r="U15">
        <f>U13*U14</f>
        <v>5164.5999999999995</v>
      </c>
      <c r="X15">
        <f>X13*X14</f>
        <v>14448</v>
      </c>
      <c r="AC15">
        <f>AC13*AC14</f>
        <v>980</v>
      </c>
      <c r="AF15">
        <f>AF13*AF14</f>
        <v>1232</v>
      </c>
      <c r="AI15">
        <f>AI13*AI14</f>
        <v>931</v>
      </c>
      <c r="AK15">
        <f>AK13*AK14</f>
        <v>4032</v>
      </c>
      <c r="AM15">
        <f>AM13*AM14</f>
        <v>420</v>
      </c>
      <c r="AO15">
        <f>AO13*AO14</f>
        <v>672</v>
      </c>
      <c r="AQ15">
        <f>AQ13*AQ14</f>
        <v>806.4</v>
      </c>
      <c r="AU15">
        <f>AU13*AU14</f>
        <v>931</v>
      </c>
      <c r="AW15">
        <f>AW13*AW14</f>
        <v>1209.6000000000001</v>
      </c>
      <c r="BB15">
        <f>BB13*BB14</f>
        <v>3024</v>
      </c>
    </row>
  </sheetData>
  <hyperlinks>
    <hyperlink ref="AA2" r:id="rId1" xr:uid="{01DF012E-D484-42CC-B59C-38C50A51BE9D}"/>
    <hyperlink ref="BD2" r:id="rId2" xr:uid="{D7915548-257D-49DF-9D8F-C9422AC949D9}"/>
    <hyperlink ref="AZ2" r:id="rId3" xr:uid="{68836795-1ED4-4FCE-8851-E30EE578F0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8BF5-57E7-437D-BB01-C06861F41D0E}">
  <dimension ref="A1:W35"/>
  <sheetViews>
    <sheetView rightToLeft="1" workbookViewId="0">
      <selection activeCell="D26" sqref="D26"/>
    </sheetView>
  </sheetViews>
  <sheetFormatPr defaultRowHeight="13.8" x14ac:dyDescent="0.25"/>
  <cols>
    <col min="1" max="1" width="10.3984375" customWidth="1"/>
    <col min="2" max="2" width="10" customWidth="1"/>
    <col min="3" max="3" width="12.19921875" customWidth="1"/>
    <col min="4" max="4" width="12.796875" customWidth="1"/>
    <col min="5" max="5" width="15.09765625" customWidth="1"/>
    <col min="6" max="6" width="13.8984375" customWidth="1"/>
    <col min="7" max="8" width="11.8984375" customWidth="1"/>
    <col min="9" max="9" width="12" customWidth="1"/>
    <col min="15" max="15" width="10.8984375" customWidth="1"/>
    <col min="16" max="16" width="10.5" customWidth="1"/>
    <col min="17" max="17" width="13.69921875" customWidth="1"/>
    <col min="18" max="18" width="10.59765625" customWidth="1"/>
    <col min="19" max="19" width="11" customWidth="1"/>
    <col min="20" max="20" width="10.8984375" customWidth="1"/>
  </cols>
  <sheetData>
    <row r="1" spans="1:23" ht="24.6" x14ac:dyDescent="0.4">
      <c r="D1" s="52" t="s">
        <v>183</v>
      </c>
      <c r="R1" t="s">
        <v>189</v>
      </c>
    </row>
    <row r="2" spans="1:23" x14ac:dyDescent="0.25">
      <c r="A2" s="5"/>
      <c r="B2" s="5" t="s">
        <v>6</v>
      </c>
      <c r="C2" s="5" t="s">
        <v>28</v>
      </c>
      <c r="D2" s="5" t="s">
        <v>28</v>
      </c>
      <c r="E2" s="5" t="s">
        <v>28</v>
      </c>
      <c r="F2" s="5" t="s">
        <v>13</v>
      </c>
      <c r="G2" s="5" t="s">
        <v>5</v>
      </c>
      <c r="H2" s="5" t="s">
        <v>186</v>
      </c>
      <c r="I2" s="5" t="s">
        <v>7</v>
      </c>
      <c r="N2" s="5"/>
      <c r="O2" s="5" t="s">
        <v>6</v>
      </c>
      <c r="P2" s="5" t="s">
        <v>7</v>
      </c>
      <c r="Q2" s="5" t="s">
        <v>7</v>
      </c>
      <c r="R2" s="5" t="s">
        <v>7</v>
      </c>
      <c r="S2" s="5" t="s">
        <v>13</v>
      </c>
      <c r="T2" s="5" t="s">
        <v>5</v>
      </c>
      <c r="U2" s="5" t="s">
        <v>188</v>
      </c>
      <c r="V2" s="5" t="s">
        <v>11</v>
      </c>
    </row>
    <row r="3" spans="1:23" x14ac:dyDescent="0.25">
      <c r="A3" s="6" t="s">
        <v>9</v>
      </c>
      <c r="B3" s="6"/>
      <c r="C3" s="6" t="s">
        <v>29</v>
      </c>
      <c r="D3" s="6" t="s">
        <v>29</v>
      </c>
      <c r="E3" s="6" t="s">
        <v>29</v>
      </c>
      <c r="F3" s="6" t="s">
        <v>14</v>
      </c>
      <c r="G3" s="6" t="s">
        <v>10</v>
      </c>
      <c r="H3" s="6" t="s">
        <v>187</v>
      </c>
      <c r="I3" s="6" t="s">
        <v>155</v>
      </c>
      <c r="J3" s="6" t="s">
        <v>143</v>
      </c>
      <c r="N3" s="6" t="s">
        <v>9</v>
      </c>
      <c r="O3" s="6"/>
      <c r="P3" s="6" t="s">
        <v>172</v>
      </c>
      <c r="Q3" s="6" t="s">
        <v>184</v>
      </c>
      <c r="R3" s="6" t="s">
        <v>172</v>
      </c>
      <c r="S3" s="6" t="s">
        <v>14</v>
      </c>
      <c r="T3" s="6" t="s">
        <v>10</v>
      </c>
      <c r="U3" s="6" t="s">
        <v>10</v>
      </c>
      <c r="V3" s="6" t="s">
        <v>12</v>
      </c>
      <c r="W3" s="6" t="s">
        <v>143</v>
      </c>
    </row>
    <row r="4" spans="1:23" x14ac:dyDescent="0.25">
      <c r="A4" s="6" t="s">
        <v>108</v>
      </c>
      <c r="B4" s="6" t="s">
        <v>190</v>
      </c>
      <c r="C4" s="6"/>
      <c r="D4" s="6" t="s">
        <v>164</v>
      </c>
      <c r="E4" s="6" t="s">
        <v>175</v>
      </c>
      <c r="F4" s="6" t="s">
        <v>151</v>
      </c>
      <c r="G4" s="6"/>
      <c r="H4" s="6" t="s">
        <v>137</v>
      </c>
      <c r="I4" s="6"/>
      <c r="J4" s="6"/>
      <c r="N4" s="6" t="s">
        <v>108</v>
      </c>
      <c r="O4" s="6" t="s">
        <v>173</v>
      </c>
      <c r="P4" s="6"/>
      <c r="Q4" s="6" t="s">
        <v>176</v>
      </c>
      <c r="R4" s="6" t="s">
        <v>175</v>
      </c>
      <c r="S4" s="6" t="s">
        <v>151</v>
      </c>
      <c r="T4" s="6"/>
      <c r="U4" s="6"/>
      <c r="V4" s="6"/>
      <c r="W4" s="6"/>
    </row>
    <row r="5" spans="1:23" x14ac:dyDescent="0.25">
      <c r="A5" s="6"/>
      <c r="C5" s="6"/>
      <c r="G5" s="6"/>
      <c r="H5" s="6"/>
      <c r="I5" s="6"/>
      <c r="J5" s="6"/>
      <c r="N5" s="6"/>
      <c r="P5" s="6"/>
      <c r="T5" s="6"/>
      <c r="U5" s="6"/>
      <c r="V5" s="6"/>
      <c r="W5" s="6"/>
    </row>
    <row r="6" spans="1:23" x14ac:dyDescent="0.25">
      <c r="A6" s="6" t="s">
        <v>182</v>
      </c>
      <c r="B6" s="6" t="s">
        <v>160</v>
      </c>
      <c r="C6" s="6"/>
      <c r="D6" s="6" t="s">
        <v>160</v>
      </c>
      <c r="E6" s="6" t="s">
        <v>160</v>
      </c>
      <c r="F6" s="6" t="s">
        <v>116</v>
      </c>
      <c r="G6" s="6"/>
      <c r="H6" s="6" t="s">
        <v>160</v>
      </c>
      <c r="I6" s="6"/>
      <c r="J6" s="6"/>
      <c r="N6" s="6" t="s">
        <v>182</v>
      </c>
      <c r="O6" s="6" t="s">
        <v>116</v>
      </c>
      <c r="P6" s="6"/>
      <c r="Q6" s="6" t="s">
        <v>160</v>
      </c>
      <c r="R6" s="6" t="s">
        <v>160</v>
      </c>
      <c r="S6" s="6" t="s">
        <v>116</v>
      </c>
      <c r="T6" s="6"/>
      <c r="U6" s="6"/>
      <c r="V6" s="6"/>
      <c r="W6" s="6"/>
    </row>
    <row r="7" spans="1:23" x14ac:dyDescent="0.25">
      <c r="A7" s="7" t="s">
        <v>16</v>
      </c>
      <c r="B7" s="7">
        <v>6</v>
      </c>
      <c r="C7" s="7"/>
      <c r="D7" s="7">
        <v>40</v>
      </c>
      <c r="E7" s="7"/>
      <c r="F7" s="7">
        <v>8</v>
      </c>
      <c r="G7" s="7">
        <v>4</v>
      </c>
      <c r="H7" s="7"/>
      <c r="I7" s="7">
        <v>8</v>
      </c>
      <c r="J7" s="7" t="s">
        <v>144</v>
      </c>
      <c r="N7" s="7" t="s">
        <v>16</v>
      </c>
      <c r="O7" s="7">
        <v>6</v>
      </c>
      <c r="P7" s="7"/>
      <c r="Q7" s="7">
        <v>40</v>
      </c>
      <c r="R7" s="7"/>
      <c r="S7" s="7">
        <v>8</v>
      </c>
      <c r="T7" s="7">
        <v>4</v>
      </c>
      <c r="U7" s="7"/>
      <c r="V7" s="7"/>
      <c r="W7" s="7" t="s">
        <v>144</v>
      </c>
    </row>
    <row r="8" spans="1:23" x14ac:dyDescent="0.25">
      <c r="A8" s="34" t="s">
        <v>9</v>
      </c>
      <c r="B8" s="34"/>
      <c r="C8" s="34"/>
      <c r="D8" s="34"/>
      <c r="E8" s="34"/>
      <c r="F8" s="34"/>
      <c r="G8" s="34"/>
      <c r="H8" s="34"/>
      <c r="I8" s="34"/>
      <c r="J8" s="34"/>
      <c r="N8" s="34" t="s">
        <v>9</v>
      </c>
      <c r="O8" s="34"/>
      <c r="P8" s="34"/>
      <c r="Q8" s="34"/>
      <c r="R8" s="34"/>
      <c r="S8" s="34"/>
      <c r="T8" s="34"/>
      <c r="U8" s="34"/>
      <c r="V8" s="34"/>
      <c r="W8" s="34"/>
    </row>
    <row r="9" spans="1:23" x14ac:dyDescent="0.25">
      <c r="A9" s="41" t="s">
        <v>113</v>
      </c>
      <c r="B9" s="43">
        <v>0.20833333333333334</v>
      </c>
      <c r="C9" s="43">
        <v>0.22222222222222221</v>
      </c>
      <c r="D9" s="43">
        <v>0.22222222222222221</v>
      </c>
      <c r="E9" s="43">
        <v>0.22222222222222221</v>
      </c>
      <c r="F9" s="43">
        <v>0.20833333333333334</v>
      </c>
      <c r="G9" s="41"/>
      <c r="H9" s="43">
        <v>0.22222222222222221</v>
      </c>
      <c r="I9" s="41"/>
      <c r="J9" s="34"/>
      <c r="N9" s="41" t="s">
        <v>113</v>
      </c>
      <c r="O9" s="43">
        <v>0.20833333333333334</v>
      </c>
      <c r="P9" s="43">
        <v>0.22222222222222221</v>
      </c>
      <c r="Q9" s="43">
        <v>0.22222222222222221</v>
      </c>
      <c r="R9" s="43">
        <v>0.22222222222222221</v>
      </c>
      <c r="S9" s="43">
        <v>0.20833333333333334</v>
      </c>
      <c r="T9" s="41"/>
      <c r="U9" s="41"/>
      <c r="V9" s="41"/>
      <c r="W9" s="34"/>
    </row>
    <row r="10" spans="1:23" x14ac:dyDescent="0.25">
      <c r="B10" s="41"/>
      <c r="C10" s="41"/>
      <c r="D10" s="41"/>
      <c r="E10" s="41"/>
      <c r="F10" s="41"/>
      <c r="G10" s="41"/>
      <c r="H10" s="41"/>
      <c r="I10" s="41"/>
      <c r="J10" s="34"/>
      <c r="O10" s="41"/>
      <c r="P10" s="41"/>
      <c r="Q10" s="41"/>
      <c r="R10" s="41"/>
      <c r="S10" s="41"/>
      <c r="T10" s="41"/>
      <c r="U10" s="41"/>
      <c r="V10" s="41"/>
      <c r="W10" s="34"/>
    </row>
    <row r="11" spans="1:23" x14ac:dyDescent="0.25">
      <c r="A11" s="34" t="s">
        <v>108</v>
      </c>
      <c r="B11" s="34"/>
      <c r="C11" s="34"/>
      <c r="D11" s="34"/>
      <c r="E11" s="34"/>
      <c r="F11" s="34"/>
      <c r="G11" s="34"/>
      <c r="H11" s="34"/>
      <c r="I11" s="34" t="s">
        <v>142</v>
      </c>
      <c r="J11" s="34"/>
      <c r="N11" s="34" t="s">
        <v>108</v>
      </c>
      <c r="O11" s="34"/>
      <c r="P11" s="34"/>
      <c r="Q11" s="34"/>
      <c r="R11" s="34"/>
      <c r="S11" s="34"/>
      <c r="T11" s="34"/>
      <c r="U11" s="34"/>
      <c r="V11" s="34" t="s">
        <v>142</v>
      </c>
      <c r="W11" s="34"/>
    </row>
    <row r="12" spans="1:23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25">
      <c r="B13" s="20" t="s">
        <v>35</v>
      </c>
      <c r="C13" s="21" t="s">
        <v>40</v>
      </c>
      <c r="D13" s="22" t="s">
        <v>57</v>
      </c>
      <c r="E13" s="20" t="s">
        <v>103</v>
      </c>
      <c r="F13" s="22" t="s">
        <v>49</v>
      </c>
      <c r="G13" s="20" t="s">
        <v>72</v>
      </c>
      <c r="H13" s="20" t="s">
        <v>82</v>
      </c>
      <c r="I13" s="22" t="s">
        <v>75</v>
      </c>
      <c r="O13" s="20" t="s">
        <v>35</v>
      </c>
      <c r="P13" s="22" t="s">
        <v>75</v>
      </c>
      <c r="Q13" s="22" t="s">
        <v>57</v>
      </c>
      <c r="S13" s="22" t="s">
        <v>49</v>
      </c>
      <c r="T13" s="20" t="s">
        <v>72</v>
      </c>
      <c r="U13" s="22" t="s">
        <v>135</v>
      </c>
      <c r="V13" s="20" t="s">
        <v>96</v>
      </c>
      <c r="W13" s="19" t="s">
        <v>185</v>
      </c>
    </row>
    <row r="14" spans="1:23" x14ac:dyDescent="0.25">
      <c r="B14" s="10" t="s">
        <v>36</v>
      </c>
      <c r="E14" s="10" t="s">
        <v>104</v>
      </c>
      <c r="F14" s="10" t="s">
        <v>136</v>
      </c>
      <c r="G14" s="10" t="s">
        <v>73</v>
      </c>
      <c r="H14" s="15"/>
      <c r="I14" s="10" t="s">
        <v>76</v>
      </c>
      <c r="J14" s="19" t="s">
        <v>185</v>
      </c>
      <c r="O14" s="10" t="s">
        <v>36</v>
      </c>
      <c r="P14" s="10" t="s">
        <v>76</v>
      </c>
      <c r="Q14" s="15"/>
      <c r="S14" s="10" t="s">
        <v>136</v>
      </c>
      <c r="T14" s="10" t="s">
        <v>73</v>
      </c>
      <c r="U14" s="14" t="s">
        <v>92</v>
      </c>
      <c r="V14" s="26" t="s">
        <v>97</v>
      </c>
      <c r="W14" s="15" t="s">
        <v>181</v>
      </c>
    </row>
    <row r="15" spans="1:23" x14ac:dyDescent="0.25">
      <c r="B15" s="10" t="s">
        <v>37</v>
      </c>
      <c r="D15" s="14" t="s">
        <v>59</v>
      </c>
      <c r="E15" s="10" t="s">
        <v>105</v>
      </c>
      <c r="F15" s="14" t="s">
        <v>51</v>
      </c>
      <c r="G15" s="13" t="s">
        <v>54</v>
      </c>
      <c r="H15" s="10" t="s">
        <v>84</v>
      </c>
      <c r="I15" s="14" t="s">
        <v>77</v>
      </c>
      <c r="J15" s="15" t="s">
        <v>181</v>
      </c>
      <c r="O15" s="10" t="s">
        <v>37</v>
      </c>
      <c r="P15" s="14" t="s">
        <v>77</v>
      </c>
      <c r="Q15" s="14" t="s">
        <v>59</v>
      </c>
      <c r="S15" s="14" t="s">
        <v>51</v>
      </c>
      <c r="T15" s="13" t="s">
        <v>54</v>
      </c>
      <c r="U15" s="14" t="s">
        <v>93</v>
      </c>
      <c r="V15" s="10" t="s">
        <v>98</v>
      </c>
      <c r="W15" s="15" t="s">
        <v>58</v>
      </c>
    </row>
    <row r="16" spans="1:23" x14ac:dyDescent="0.25">
      <c r="B16" s="12" t="s">
        <v>38</v>
      </c>
      <c r="C16" s="11" t="s">
        <v>100</v>
      </c>
      <c r="D16" s="51" t="s">
        <v>91</v>
      </c>
      <c r="E16" s="10" t="s">
        <v>106</v>
      </c>
      <c r="F16" s="13" t="s">
        <v>53</v>
      </c>
      <c r="H16" s="14" t="s">
        <v>85</v>
      </c>
      <c r="I16" s="14" t="s">
        <v>78</v>
      </c>
      <c r="J16" s="15" t="s">
        <v>58</v>
      </c>
      <c r="O16" s="12" t="s">
        <v>38</v>
      </c>
      <c r="P16" s="14" t="s">
        <v>78</v>
      </c>
      <c r="Q16" s="15" t="s">
        <v>91</v>
      </c>
      <c r="S16" s="13" t="s">
        <v>53</v>
      </c>
      <c r="T16" s="15"/>
      <c r="U16" s="14" t="s">
        <v>87</v>
      </c>
      <c r="V16" s="10" t="s">
        <v>99</v>
      </c>
      <c r="W16" s="15" t="s">
        <v>41</v>
      </c>
    </row>
    <row r="17" spans="2:22" x14ac:dyDescent="0.25">
      <c r="B17" s="10" t="s">
        <v>74</v>
      </c>
      <c r="C17" s="14" t="s">
        <v>43</v>
      </c>
      <c r="D17" s="14" t="s">
        <v>61</v>
      </c>
      <c r="E17" s="13" t="s">
        <v>110</v>
      </c>
      <c r="F17" s="12" t="s">
        <v>131</v>
      </c>
      <c r="H17" s="14" t="s">
        <v>86</v>
      </c>
      <c r="I17" s="11" t="s">
        <v>79</v>
      </c>
      <c r="J17" s="15" t="s">
        <v>41</v>
      </c>
      <c r="O17" s="10" t="s">
        <v>74</v>
      </c>
      <c r="P17" s="11" t="s">
        <v>79</v>
      </c>
      <c r="Q17" s="14" t="s">
        <v>61</v>
      </c>
      <c r="S17" s="12" t="s">
        <v>131</v>
      </c>
      <c r="U17" s="13" t="s">
        <v>48</v>
      </c>
      <c r="V17" s="13" t="s">
        <v>111</v>
      </c>
    </row>
    <row r="18" spans="2:22" x14ac:dyDescent="0.25">
      <c r="B18" s="12" t="s">
        <v>134</v>
      </c>
      <c r="C18" s="13" t="s">
        <v>44</v>
      </c>
      <c r="D18" s="13" t="s">
        <v>62</v>
      </c>
      <c r="E18" s="18" t="s">
        <v>101</v>
      </c>
      <c r="F18" s="13" t="s">
        <v>81</v>
      </c>
      <c r="H18" s="14" t="s">
        <v>94</v>
      </c>
      <c r="I18" s="13" t="s">
        <v>80</v>
      </c>
      <c r="O18" s="12" t="s">
        <v>134</v>
      </c>
      <c r="P18" s="13" t="s">
        <v>80</v>
      </c>
      <c r="Q18" s="13" t="s">
        <v>62</v>
      </c>
      <c r="S18" s="13" t="s">
        <v>81</v>
      </c>
      <c r="T18" s="20" t="s">
        <v>82</v>
      </c>
      <c r="U18" s="13" t="s">
        <v>95</v>
      </c>
      <c r="V18" s="13" t="s">
        <v>112</v>
      </c>
    </row>
    <row r="19" spans="2:22" x14ac:dyDescent="0.25">
      <c r="C19" s="13" t="s">
        <v>45</v>
      </c>
      <c r="D19" s="13" t="s">
        <v>63</v>
      </c>
      <c r="E19" s="12" t="s">
        <v>128</v>
      </c>
      <c r="H19" s="13" t="s">
        <v>88</v>
      </c>
      <c r="I19" s="13" t="s">
        <v>55</v>
      </c>
      <c r="P19" s="13" t="s">
        <v>177</v>
      </c>
      <c r="Q19" s="13" t="s">
        <v>63</v>
      </c>
      <c r="T19" s="15" t="s">
        <v>83</v>
      </c>
      <c r="U19" s="13" t="s">
        <v>110</v>
      </c>
      <c r="V19" s="13" t="s">
        <v>102</v>
      </c>
    </row>
    <row r="20" spans="2:22" x14ac:dyDescent="0.25">
      <c r="C20" s="13" t="s">
        <v>46</v>
      </c>
      <c r="D20" s="47" t="s">
        <v>132</v>
      </c>
      <c r="E20" s="22" t="s">
        <v>135</v>
      </c>
      <c r="H20" s="13" t="s">
        <v>89</v>
      </c>
      <c r="I20" s="13" t="s">
        <v>177</v>
      </c>
      <c r="P20" s="20" t="s">
        <v>103</v>
      </c>
      <c r="Q20" s="47" t="s">
        <v>132</v>
      </c>
      <c r="T20" s="10" t="s">
        <v>84</v>
      </c>
      <c r="U20" s="14" t="s">
        <v>60</v>
      </c>
    </row>
    <row r="21" spans="2:22" x14ac:dyDescent="0.25">
      <c r="C21" s="20" t="s">
        <v>96</v>
      </c>
      <c r="D21" s="14" t="s">
        <v>66</v>
      </c>
      <c r="H21" s="11" t="s">
        <v>39</v>
      </c>
      <c r="P21" s="10" t="s">
        <v>104</v>
      </c>
      <c r="Q21" s="14" t="s">
        <v>66</v>
      </c>
      <c r="T21" s="14" t="s">
        <v>85</v>
      </c>
      <c r="U21" s="12" t="s">
        <v>133</v>
      </c>
    </row>
    <row r="22" spans="2:22" x14ac:dyDescent="0.25">
      <c r="C22" s="26" t="s">
        <v>97</v>
      </c>
      <c r="D22" s="12" t="s">
        <v>130</v>
      </c>
      <c r="E22" s="14" t="s">
        <v>92</v>
      </c>
      <c r="P22" s="10" t="s">
        <v>105</v>
      </c>
      <c r="Q22" s="12" t="s">
        <v>130</v>
      </c>
      <c r="T22" s="14" t="s">
        <v>86</v>
      </c>
    </row>
    <row r="23" spans="2:22" x14ac:dyDescent="0.25">
      <c r="C23" s="10" t="s">
        <v>98</v>
      </c>
      <c r="D23" s="31" t="s">
        <v>124</v>
      </c>
      <c r="E23" s="14" t="s">
        <v>93</v>
      </c>
      <c r="P23" s="10" t="s">
        <v>106</v>
      </c>
      <c r="Q23" s="31" t="s">
        <v>124</v>
      </c>
      <c r="T23" s="14" t="s">
        <v>94</v>
      </c>
    </row>
    <row r="24" spans="2:22" x14ac:dyDescent="0.25">
      <c r="C24" s="10" t="s">
        <v>99</v>
      </c>
      <c r="D24" s="22" t="s">
        <v>64</v>
      </c>
      <c r="E24" s="14" t="s">
        <v>87</v>
      </c>
      <c r="P24" s="13" t="s">
        <v>110</v>
      </c>
      <c r="Q24" s="22" t="s">
        <v>64</v>
      </c>
      <c r="T24" s="13" t="s">
        <v>88</v>
      </c>
    </row>
    <row r="25" spans="2:22" x14ac:dyDescent="0.25">
      <c r="C25" s="13" t="s">
        <v>111</v>
      </c>
      <c r="D25" s="15" t="s">
        <v>65</v>
      </c>
      <c r="E25" s="13" t="s">
        <v>48</v>
      </c>
      <c r="P25" s="18" t="s">
        <v>101</v>
      </c>
      <c r="Q25" s="15" t="s">
        <v>65</v>
      </c>
      <c r="T25" s="13" t="s">
        <v>89</v>
      </c>
    </row>
    <row r="26" spans="2:22" x14ac:dyDescent="0.25">
      <c r="C26" s="13" t="s">
        <v>112</v>
      </c>
      <c r="D26" s="48"/>
      <c r="E26" s="13" t="s">
        <v>95</v>
      </c>
      <c r="P26" s="12" t="s">
        <v>128</v>
      </c>
      <c r="Q26" s="48"/>
    </row>
    <row r="27" spans="2:22" x14ac:dyDescent="0.25">
      <c r="C27" s="13" t="s">
        <v>102</v>
      </c>
      <c r="D27" s="14" t="s">
        <v>67</v>
      </c>
      <c r="E27" s="13" t="s">
        <v>110</v>
      </c>
      <c r="P27" s="11" t="s">
        <v>39</v>
      </c>
      <c r="Q27" s="14" t="s">
        <v>67</v>
      </c>
    </row>
    <row r="28" spans="2:22" x14ac:dyDescent="0.25">
      <c r="D28" s="47" t="s">
        <v>178</v>
      </c>
      <c r="E28" s="14" t="s">
        <v>60</v>
      </c>
      <c r="P28" s="21" t="s">
        <v>40</v>
      </c>
      <c r="Q28" s="47" t="s">
        <v>178</v>
      </c>
    </row>
    <row r="29" spans="2:22" x14ac:dyDescent="0.25">
      <c r="D29" s="13" t="s">
        <v>69</v>
      </c>
      <c r="E29" s="12" t="s">
        <v>133</v>
      </c>
      <c r="P29" s="15"/>
      <c r="Q29" s="13" t="s">
        <v>69</v>
      </c>
    </row>
    <row r="30" spans="2:22" x14ac:dyDescent="0.25">
      <c r="D30" s="13" t="s">
        <v>70</v>
      </c>
      <c r="P30" s="19" t="s">
        <v>42</v>
      </c>
      <c r="Q30" s="13" t="s">
        <v>70</v>
      </c>
    </row>
    <row r="31" spans="2:22" x14ac:dyDescent="0.25">
      <c r="D31" s="13" t="s">
        <v>71</v>
      </c>
      <c r="P31" s="11" t="s">
        <v>100</v>
      </c>
      <c r="Q31" s="13" t="s">
        <v>71</v>
      </c>
    </row>
    <row r="32" spans="2:22" x14ac:dyDescent="0.25">
      <c r="D32" s="13" t="s">
        <v>47</v>
      </c>
      <c r="P32" s="14" t="s">
        <v>43</v>
      </c>
      <c r="Q32" s="13" t="s">
        <v>47</v>
      </c>
    </row>
    <row r="33" spans="4:17" x14ac:dyDescent="0.25">
      <c r="D33" s="12" t="s">
        <v>129</v>
      </c>
      <c r="P33" s="13" t="s">
        <v>44</v>
      </c>
      <c r="Q33" s="12" t="s">
        <v>129</v>
      </c>
    </row>
    <row r="34" spans="4:17" x14ac:dyDescent="0.25">
      <c r="D34" s="14" t="s">
        <v>68</v>
      </c>
      <c r="P34" s="13" t="s">
        <v>45</v>
      </c>
      <c r="Q34" s="14" t="s">
        <v>68</v>
      </c>
    </row>
    <row r="35" spans="4:17" x14ac:dyDescent="0.25">
      <c r="D35" s="14" t="s">
        <v>52</v>
      </c>
      <c r="P35" s="13" t="s">
        <v>46</v>
      </c>
      <c r="Q35" s="14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יום שני ה4 לספטמבר</vt:lpstr>
      <vt:lpstr>רשימת ראשי צוותים</vt:lpstr>
      <vt:lpstr>יום שני ה11 לספטמבר</vt:lpstr>
      <vt:lpstr>חישובי שעות חודש ספטמבר</vt:lpstr>
      <vt:lpstr>עשרת ימי תשובה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2023-08-24T09:30:05Z</dcterms:created>
  <dcterms:modified xsi:type="dcterms:W3CDTF">2023-12-17T12:35:36Z</dcterms:modified>
</cp:coreProperties>
</file>
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עמותת רוח הגולן\שולחן העבודה\"/>
    </mc:Choice>
  </mc:AlternateContent>
  <xr:revisionPtr revIDLastSave="0" documentId="13_ncr:1_{9953B026-1E6D-4115-AEBB-F3D0C2E2FF63}" xr6:coauthVersionLast="47" xr6:coauthVersionMax="47" xr10:uidLastSave="{00000000-0000-0000-0000-000000000000}"/>
  <bookViews>
    <workbookView xWindow="-120" yWindow="-120" windowWidth="29040" windowHeight="15720" xr2:uid="{07BDFE74-B1E6-4B5A-AC0C-E010D0C38890}"/>
  </bookViews>
  <sheets>
    <sheet name="חקלאות תשפ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F7" i="1"/>
  <c r="B7" i="1"/>
  <c r="B10" i="1" l="1"/>
  <c r="B14" i="1" l="1"/>
  <c r="B17" i="1" s="1"/>
  <c r="B16" i="1" l="1"/>
</calcChain>
</file>

<file path=xl/sharedStrings.xml><?xml version="1.0" encoding="utf-8"?>
<sst xmlns="http://schemas.openxmlformats.org/spreadsheetml/2006/main" count="28" uniqueCount="28">
  <si>
    <t xml:space="preserve">סעיף </t>
  </si>
  <si>
    <t>עלות</t>
  </si>
  <si>
    <t>הערות</t>
  </si>
  <si>
    <t>הסעות</t>
  </si>
  <si>
    <t>מתנת חורף</t>
  </si>
  <si>
    <t>מתנת קיץ</t>
  </si>
  <si>
    <t>ציוד</t>
  </si>
  <si>
    <t>קיטים</t>
  </si>
  <si>
    <t>קורס טרקטור</t>
  </si>
  <si>
    <t>חולצות לצוותים</t>
  </si>
  <si>
    <t>מכנסי מתד</t>
  </si>
  <si>
    <t>מעיל מתד</t>
  </si>
  <si>
    <t>סה"כ עליות</t>
  </si>
  <si>
    <t>הוצאות רכב</t>
  </si>
  <si>
    <t>סה"כ הכנסות</t>
  </si>
  <si>
    <t>מאזן</t>
  </si>
  <si>
    <t>מדריך עבודה</t>
  </si>
  <si>
    <t>צוות רק חקלאות - לא חינוכי</t>
  </si>
  <si>
    <t>רווח</t>
  </si>
  <si>
    <t>שכר לימוד</t>
  </si>
  <si>
    <t>חברתי</t>
  </si>
  <si>
    <t>חוגים</t>
  </si>
  <si>
    <t>התנדבות</t>
  </si>
  <si>
    <t>טרנספורטר</t>
  </si>
  <si>
    <t>אוטובוס ומיניבוסים</t>
  </si>
  <si>
    <t>שמינסטים</t>
  </si>
  <si>
    <t>אזבר</t>
  </si>
  <si>
    <t>מזמרות- פקלים -טרמוקלים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</si>
</sst>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9" fontId="0" fillId="6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0ABD-490E-4CDD-89D7-7D548C49C8BF}">
  <dimension ref="A1:F22"/>
  <sheetViews>
    <sheetView rightToLeft="1" tabSelected="1" workbookViewId="0">
      <selection activeCell="F3" sqref="F3"/>
    </sheetView>
  </sheetViews>
  <sheetFormatPr defaultRowHeight="14.25" x14ac:dyDescent="0.2"/>
  <cols>
    <col min="1" max="1" width="21.125" style="1" customWidth="1"/>
    <col min="2" max="2" width="15.125" style="1" customWidth="1"/>
    <col min="3" max="3" width="23.25" style="1" customWidth="1"/>
  </cols>
  <sheetData>
    <row r="1" spans="1:6" x14ac:dyDescent="0.2">
      <c r="A1" s="2" t="s">
        <v>0</v>
      </c>
      <c r="B1" s="2" t="s">
        <v>1</v>
      </c>
      <c r="C1" s="2" t="s">
        <v>2</v>
      </c>
    </row>
    <row r="2" spans="1:6" x14ac:dyDescent="0.2">
      <c r="A2" s="1" t="s">
        <v>3</v>
      </c>
      <c r="B2" s="1">
        <v>231000</v>
      </c>
      <c r="C2" s="1" t="s">
        <v>24</v>
      </c>
    </row>
    <row r="3" spans="1:6" x14ac:dyDescent="0.2">
      <c r="A3" s="1" t="s">
        <v>13</v>
      </c>
      <c r="B3" s="1">
        <v>115000</v>
      </c>
      <c r="C3" s="1" t="s">
        <v>23</v>
      </c>
    </row>
    <row r="4" spans="1:6" x14ac:dyDescent="0.2">
      <c r="A4" s="1" t="s">
        <v>4</v>
      </c>
      <c r="B4" s="6">
        <v>50741</v>
      </c>
      <c r="C4" s="1" t="s">
        <v>11</v>
      </c>
      <c r="F4" s="6">
        <v>50741</v>
      </c>
    </row>
    <row r="5" spans="1:6" x14ac:dyDescent="0.2">
      <c r="A5" s="1" t="s">
        <v>5</v>
      </c>
      <c r="B5" s="6">
        <v>15000</v>
      </c>
      <c r="C5" s="1" t="s">
        <v>10</v>
      </c>
      <c r="F5" s="6">
        <v>15000</v>
      </c>
    </row>
    <row r="6" spans="1:6" x14ac:dyDescent="0.2">
      <c r="A6" s="1" t="s">
        <v>8</v>
      </c>
      <c r="B6" s="6">
        <v>48000</v>
      </c>
      <c r="F6" s="6">
        <v>48000</v>
      </c>
    </row>
    <row r="7" spans="1:6" x14ac:dyDescent="0.2">
      <c r="A7" s="1" t="s">
        <v>9</v>
      </c>
      <c r="B7" s="6">
        <f>400*5</f>
        <v>2000</v>
      </c>
      <c r="F7" s="6">
        <f>400*5</f>
        <v>2000</v>
      </c>
    </row>
    <row r="8" spans="1:6" x14ac:dyDescent="0.2">
      <c r="A8" s="1" t="s">
        <v>25</v>
      </c>
      <c r="B8" s="6">
        <v>30000</v>
      </c>
      <c r="F8" s="6">
        <v>30000</v>
      </c>
    </row>
    <row r="9" spans="1:6" x14ac:dyDescent="0.2">
      <c r="A9" s="1" t="s">
        <v>26</v>
      </c>
      <c r="B9" s="6">
        <v>5000</v>
      </c>
      <c r="F9" s="6">
        <v>5000</v>
      </c>
    </row>
    <row r="10" spans="1:6" x14ac:dyDescent="0.2">
      <c r="A10" s="1" t="s">
        <v>6</v>
      </c>
      <c r="B10" s="1">
        <f>3000+4500+40000</f>
        <v>47500</v>
      </c>
      <c r="C10" s="1" t="s">
        <v>27</v>
      </c>
    </row>
    <row r="11" spans="1:6" x14ac:dyDescent="0.2">
      <c r="A11" s="1" t="s">
        <v>7</v>
      </c>
      <c r="B11" s="1">
        <v>80000</v>
      </c>
    </row>
    <row r="12" spans="1:6" x14ac:dyDescent="0.2">
      <c r="A12" s="1" t="s">
        <v>16</v>
      </c>
    </row>
    <row r="13" spans="1:6" x14ac:dyDescent="0.2">
      <c r="A13" s="1" t="s">
        <v>17</v>
      </c>
      <c r="B13" s="1">
        <f>7500*12.5*1.3</f>
        <v>121875</v>
      </c>
    </row>
    <row r="14" spans="1:6" ht="15" x14ac:dyDescent="0.25">
      <c r="A14" s="5" t="s">
        <v>12</v>
      </c>
      <c r="B14" s="5">
        <f>SUM(B2:B13)</f>
        <v>746116</v>
      </c>
      <c r="C14" s="3"/>
    </row>
    <row r="15" spans="1:6" x14ac:dyDescent="0.2">
      <c r="A15" s="4" t="s">
        <v>14</v>
      </c>
      <c r="B15" s="4">
        <v>750000</v>
      </c>
    </row>
    <row r="16" spans="1:6" x14ac:dyDescent="0.2">
      <c r="A16" s="1" t="s">
        <v>15</v>
      </c>
      <c r="B16" s="1">
        <f>B15-B14</f>
        <v>3884</v>
      </c>
    </row>
    <row r="17" spans="1:3" x14ac:dyDescent="0.2">
      <c r="A17" s="1" t="s">
        <v>18</v>
      </c>
      <c r="B17" s="7">
        <f>100%-B14/B15</f>
        <v>5.1786666666666648E-3</v>
      </c>
      <c r="C17" s="1" t="s">
        <v>22</v>
      </c>
    </row>
    <row r="20" spans="1:3" x14ac:dyDescent="0.2">
      <c r="A20" s="1" t="s">
        <v>19</v>
      </c>
      <c r="B20" s="1">
        <v>13500</v>
      </c>
      <c r="C20" s="1">
        <v>19000</v>
      </c>
    </row>
    <row r="21" spans="1:3" x14ac:dyDescent="0.2">
      <c r="A21" s="1" t="s">
        <v>20</v>
      </c>
    </row>
    <row r="22" spans="1:3" x14ac:dyDescent="0.2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חקלאות תשפה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Tsuberi</dc:creator>
  <cp:lastModifiedBy>Guy Tsuberi</cp:lastModifiedBy>
  <dcterms:created xsi:type="dcterms:W3CDTF">2025-07-15T10:45:51Z</dcterms:created>
  <dcterms:modified xsi:type="dcterms:W3CDTF">2025-07-28T12:44:23Z</dcterms:modified>
</cp:coreProperties>
</file>